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5"/>
    <sheet state="visible" name="trascinamento" sheetId="2" r:id="rId6"/>
    <sheet state="visible" name="formattazione_condizionale" sheetId="3" r:id="rId7"/>
    <sheet state="visible" name="grafici" sheetId="4" r:id="rId8"/>
    <sheet state="visible" name="percentuali" sheetId="5" r:id="rId9"/>
    <sheet state="visible" name="funzioni_avanzate" sheetId="6" r:id="rId10"/>
    <sheet state="visible" name="ripasso" sheetId="7" r:id="rId11"/>
    <sheet state="visible" name="filtri" sheetId="8" r:id="rId12"/>
    <sheet state="visible" name="convalida_dati" sheetId="9" r:id="rId13"/>
    <sheet state="visible" name="cerca" sheetId="10" r:id="rId14"/>
    <sheet state="visible" name="tabella_articolo" sheetId="11" r:id="rId15"/>
    <sheet state="visible" name="tabella_fornitore" sheetId="12" r:id="rId16"/>
    <sheet state="visible" name="tabella_inventario" sheetId="13" r:id="rId17"/>
    <sheet state="visible" name="fattura" sheetId="14" r:id="rId18"/>
  </sheets>
  <definedNames>
    <definedName hidden="1" localSheetId="7" name="_xlnm._FilterDatabase">filtri!$C$1:$H$5</definedName>
  </definedNames>
  <calcPr/>
</workbook>
</file>

<file path=xl/sharedStrings.xml><?xml version="1.0" encoding="utf-8"?>
<sst xmlns="http://schemas.openxmlformats.org/spreadsheetml/2006/main" count="352" uniqueCount="214">
  <si>
    <t xml:space="preserve"> </t>
  </si>
  <si>
    <t>esempio</t>
  </si>
  <si>
    <r>
      <rPr>
        <rFont val="Arial"/>
        <color theme="1"/>
      </rPr>
      <t xml:space="preserve">cella contenente valore </t>
    </r>
    <r>
      <rPr>
        <rFont val="Arial"/>
        <b/>
        <color theme="1"/>
      </rPr>
      <t>numerico</t>
    </r>
  </si>
  <si>
    <r>
      <rPr>
        <rFont val="Arial"/>
        <color theme="1"/>
      </rPr>
      <t xml:space="preserve">cella contenente valore </t>
    </r>
    <r>
      <rPr>
        <rFont val="Arial"/>
        <b/>
        <color theme="1"/>
      </rPr>
      <t>numerico con virgola</t>
    </r>
  </si>
  <si>
    <r>
      <rPr>
        <rFont val="Arial"/>
        <color theme="1"/>
      </rPr>
      <t xml:space="preserve">cella contenente valore </t>
    </r>
    <r>
      <rPr>
        <rFont val="Arial"/>
        <b/>
        <color theme="1"/>
      </rPr>
      <t>testuale</t>
    </r>
  </si>
  <si>
    <t>tre</t>
  </si>
  <si>
    <r>
      <rPr>
        <rFont val="Arial"/>
        <color theme="1"/>
      </rPr>
      <t xml:space="preserve">cella contenente una </t>
    </r>
    <r>
      <rPr>
        <rFont val="Arial"/>
        <b/>
        <color theme="1"/>
      </rPr>
      <t>data</t>
    </r>
    <r>
      <rPr>
        <rFont val="Arial"/>
        <color theme="1"/>
      </rPr>
      <t xml:space="preserve"> come valore</t>
    </r>
  </si>
  <si>
    <t>riferimenti</t>
  </si>
  <si>
    <r>
      <rPr>
        <rFont val="Arial"/>
        <color theme="1"/>
      </rPr>
      <t xml:space="preserve">cella contenente un </t>
    </r>
    <r>
      <rPr>
        <rFont val="Arial"/>
        <b/>
        <color theme="1"/>
      </rPr>
      <t>valore</t>
    </r>
    <r>
      <rPr>
        <rFont val="Arial"/>
        <color theme="1"/>
      </rPr>
      <t xml:space="preserve"> testuale (non un riferimento, manca =)</t>
    </r>
  </si>
  <si>
    <t>B2</t>
  </si>
  <si>
    <r>
      <rPr>
        <rFont val="Arial"/>
        <color theme="1"/>
      </rPr>
      <t xml:space="preserve">cella contenente un </t>
    </r>
    <r>
      <rPr>
        <rFont val="Arial"/>
        <b/>
        <color theme="1"/>
      </rPr>
      <t>riferimento</t>
    </r>
    <r>
      <rPr>
        <rFont val="Arial"/>
        <color theme="1"/>
      </rPr>
      <t xml:space="preserve"> alla cella B2</t>
    </r>
  </si>
  <si>
    <r>
      <rPr>
        <rFont val="Arial"/>
        <color theme="1"/>
      </rPr>
      <t xml:space="preserve">cella contenente un </t>
    </r>
    <r>
      <rPr>
        <rFont val="Arial"/>
        <b/>
        <color theme="1"/>
      </rPr>
      <t>riferimento</t>
    </r>
    <r>
      <rPr>
        <rFont val="Arial"/>
        <color theme="1"/>
      </rPr>
      <t xml:space="preserve"> alla cella B2 con indice di colonna </t>
    </r>
    <r>
      <rPr>
        <rFont val="Arial"/>
        <b/>
        <color theme="1"/>
      </rPr>
      <t>bloccato</t>
    </r>
    <r>
      <rPr>
        <rFont val="Arial"/>
        <color theme="1"/>
      </rPr>
      <t xml:space="preserve"> ($)</t>
    </r>
  </si>
  <si>
    <r>
      <rPr>
        <rFont val="Arial"/>
        <color theme="1"/>
      </rPr>
      <t xml:space="preserve">cella contenente un </t>
    </r>
    <r>
      <rPr>
        <rFont val="Arial"/>
        <b/>
        <color theme="1"/>
      </rPr>
      <t>riferimento</t>
    </r>
    <r>
      <rPr>
        <rFont val="Arial"/>
        <color theme="1"/>
      </rPr>
      <t xml:space="preserve"> alla cella B2 con indice di riga </t>
    </r>
    <r>
      <rPr>
        <rFont val="Arial"/>
        <b/>
        <color theme="1"/>
      </rPr>
      <t>bloccato</t>
    </r>
    <r>
      <rPr>
        <rFont val="Arial"/>
        <color theme="1"/>
      </rPr>
      <t xml:space="preserve"> ($)</t>
    </r>
  </si>
  <si>
    <r>
      <rPr>
        <rFont val="Arial"/>
        <color theme="1"/>
      </rPr>
      <t xml:space="preserve">cella contenente un </t>
    </r>
    <r>
      <rPr>
        <rFont val="Arial"/>
        <b/>
        <color theme="1"/>
      </rPr>
      <t>riferimento</t>
    </r>
    <r>
      <rPr>
        <rFont val="Arial"/>
        <color theme="1"/>
      </rPr>
      <t xml:space="preserve"> alla cella B2 con indici </t>
    </r>
    <r>
      <rPr>
        <rFont val="Arial"/>
        <b/>
        <color theme="1"/>
      </rPr>
      <t>bloccati</t>
    </r>
    <r>
      <rPr>
        <rFont val="Arial"/>
        <color theme="1"/>
      </rPr>
      <t xml:space="preserve"> ($)</t>
    </r>
  </si>
  <si>
    <r>
      <rPr>
        <rFont val="Arial"/>
        <color theme="1"/>
      </rPr>
      <t xml:space="preserve">cella contenente un </t>
    </r>
    <r>
      <rPr>
        <rFont val="Arial"/>
        <b/>
        <color theme="1"/>
      </rPr>
      <t>riferimento</t>
    </r>
    <r>
      <rPr>
        <rFont val="Arial"/>
        <color theme="1"/>
      </rPr>
      <t xml:space="preserve"> alla cella di </t>
    </r>
    <r>
      <rPr>
        <rFont val="Arial"/>
        <b/>
        <color theme="1"/>
      </rPr>
      <t>un altro foglio</t>
    </r>
  </si>
  <si>
    <t>formula</t>
  </si>
  <si>
    <r>
      <rPr>
        <rFont val="Arial"/>
        <b/>
        <color theme="1"/>
      </rPr>
      <t>formula</t>
    </r>
    <r>
      <rPr>
        <rFont val="Arial"/>
        <color theme="1"/>
      </rPr>
      <t xml:space="preserve"> con </t>
    </r>
    <r>
      <rPr>
        <rFont val="Arial"/>
        <b/>
        <color theme="1"/>
      </rPr>
      <t>costanti</t>
    </r>
    <r>
      <rPr>
        <rFont val="Arial"/>
        <color theme="1"/>
      </rPr>
      <t xml:space="preserve"> </t>
    </r>
    <r>
      <rPr>
        <rFont val="Arial"/>
        <b/>
        <color theme="1"/>
      </rPr>
      <t>numeriche</t>
    </r>
  </si>
  <si>
    <r>
      <rPr>
        <rFont val="Arial"/>
        <b/>
        <color theme="1"/>
      </rPr>
      <t>formula</t>
    </r>
    <r>
      <rPr>
        <rFont val="Arial"/>
        <color theme="1"/>
      </rPr>
      <t xml:space="preserve"> con </t>
    </r>
    <r>
      <rPr>
        <rFont val="Arial"/>
        <b/>
        <color theme="1"/>
      </rPr>
      <t>riferimenti</t>
    </r>
  </si>
  <si>
    <r>
      <rPr>
        <rFont val="Arial"/>
        <color theme="1"/>
      </rPr>
      <t xml:space="preserve">formula con funzione </t>
    </r>
    <r>
      <rPr>
        <rFont val="Arial"/>
        <b/>
        <color theme="1"/>
      </rPr>
      <t xml:space="preserve">SOMMA(1) </t>
    </r>
    <r>
      <rPr>
        <rFont val="Arial"/>
        <color theme="1"/>
      </rPr>
      <t>argomento un valore numerico</t>
    </r>
  </si>
  <si>
    <r>
      <rPr>
        <rFont val="Arial"/>
        <color theme="1"/>
      </rPr>
      <t>formula con funzione</t>
    </r>
    <r>
      <rPr>
        <rFont val="Arial"/>
        <b/>
        <color theme="1"/>
      </rPr>
      <t xml:space="preserve"> SOMMA(B2)</t>
    </r>
    <r>
      <rPr>
        <rFont val="Arial"/>
        <color theme="1"/>
      </rPr>
      <t xml:space="preserve"> argomento un riferimento</t>
    </r>
  </si>
  <si>
    <r>
      <rPr>
        <rFont val="Arial"/>
        <color theme="1"/>
      </rPr>
      <t xml:space="preserve">formula con funzione </t>
    </r>
    <r>
      <rPr>
        <rFont val="Arial"/>
        <b/>
        <color theme="1"/>
      </rPr>
      <t>SOMMA(B2:B4)</t>
    </r>
    <r>
      <rPr>
        <rFont val="Arial"/>
        <color theme="1"/>
      </rPr>
      <t xml:space="preserve"> argomento un intervallo</t>
    </r>
  </si>
  <si>
    <t>funzioni</t>
  </si>
  <si>
    <t>dati</t>
  </si>
  <si>
    <r>
      <rPr>
        <rFont val="Arial"/>
        <color theme="1"/>
      </rPr>
      <t xml:space="preserve">funzione </t>
    </r>
    <r>
      <rPr>
        <rFont val="Arial"/>
        <b/>
        <color theme="1"/>
      </rPr>
      <t>SOMMA</t>
    </r>
  </si>
  <si>
    <r>
      <rPr>
        <rFont val="Arial"/>
        <color theme="1"/>
      </rPr>
      <t xml:space="preserve">funzione </t>
    </r>
    <r>
      <rPr>
        <rFont val="Arial"/>
        <b/>
        <color theme="1"/>
      </rPr>
      <t>MEDIA</t>
    </r>
  </si>
  <si>
    <r>
      <rPr>
        <rFont val="Arial"/>
        <color theme="1"/>
      </rPr>
      <t xml:space="preserve">funzione </t>
    </r>
    <r>
      <rPr>
        <rFont val="Arial"/>
        <b/>
        <color theme="1"/>
      </rPr>
      <t>MIN</t>
    </r>
  </si>
  <si>
    <r>
      <rPr>
        <rFont val="Arial"/>
        <color theme="1"/>
      </rPr>
      <t xml:space="preserve">funzione </t>
    </r>
    <r>
      <rPr>
        <rFont val="Arial"/>
        <b/>
        <color theme="1"/>
      </rPr>
      <t>MAX</t>
    </r>
  </si>
  <si>
    <t>trascinamento</t>
  </si>
  <si>
    <t>con valore costante 0</t>
  </si>
  <si>
    <t>con riferimento =D4</t>
  </si>
  <si>
    <t>a</t>
  </si>
  <si>
    <t>con riferimento bloccato =$D4</t>
  </si>
  <si>
    <t>con riferimento bloccato =D$4</t>
  </si>
  <si>
    <t>con riferimento bloccato =$D$4</t>
  </si>
  <si>
    <t>formattazione condizionale</t>
  </si>
  <si>
    <t xml:space="preserve">se la cella contiene: </t>
  </si>
  <si>
    <t>- un valore minore o uguale di 4 imposta lo sfondo rosso</t>
  </si>
  <si>
    <t>- un valore da 5 a 6 imposta lo sfondo arancione</t>
  </si>
  <si>
    <t>- un valore maggiore di 6 imposta lo sfondo verde</t>
  </si>
  <si>
    <t>se la cella contiene:</t>
  </si>
  <si>
    <t>- una data successiva a oggi imposta sfondo rosso</t>
  </si>
  <si>
    <t>- una data precedente o uguale a oggi imposta sfondo verde e grassetto</t>
  </si>
  <si>
    <t>se le celle contengono:</t>
  </si>
  <si>
    <t>- il testo "lu" sfondo verde</t>
  </si>
  <si>
    <t>anna</t>
  </si>
  <si>
    <t>- casella vuota sfondo rosso</t>
  </si>
  <si>
    <t>luca</t>
  </si>
  <si>
    <t>mario</t>
  </si>
  <si>
    <t>lucia</t>
  </si>
  <si>
    <t>grafici</t>
  </si>
  <si>
    <t>X</t>
  </si>
  <si>
    <t>Y</t>
  </si>
  <si>
    <t>percentuali</t>
  </si>
  <si>
    <t>valori</t>
  </si>
  <si>
    <t>costo base (merce fornitore)</t>
  </si>
  <si>
    <t>€</t>
  </si>
  <si>
    <t>prezzo di vendita (ricarico del 300%)</t>
  </si>
  <si>
    <t>sconto del 35%</t>
  </si>
  <si>
    <t>prezzo scontato del 35%</t>
  </si>
  <si>
    <t>rateizzazione (3 rate)</t>
  </si>
  <si>
    <t>ricavo con tasso interesse sulle rate 5%</t>
  </si>
  <si>
    <t>Funzioni avanzate</t>
  </si>
  <si>
    <t>dati di esempio</t>
  </si>
  <si>
    <t>case</t>
  </si>
  <si>
    <t>nome</t>
  </si>
  <si>
    <t>eta</t>
  </si>
  <si>
    <t>sesso</t>
  </si>
  <si>
    <t>marco</t>
  </si>
  <si>
    <t>M</t>
  </si>
  <si>
    <t>giovanni</t>
  </si>
  <si>
    <t>paola</t>
  </si>
  <si>
    <t>F</t>
  </si>
  <si>
    <t>federica</t>
  </si>
  <si>
    <t>conta le celle vuote sulla colonna B (funzione CONTA.VUOTE)</t>
  </si>
  <si>
    <t>conta le celle con valore sulla colonna B (funzione CONTA.VALORI)</t>
  </si>
  <si>
    <t>conta le celle con valore maggiore di 1 sulla colonna B (funzione CONTA.SE)</t>
  </si>
  <si>
    <t>somma i valori della colonna B se maggiori di 1 (funzione SOMMA.SE)</t>
  </si>
  <si>
    <t>fai la media dei valori della colonna B se maggiori di 2 (funzione MEDIA.SE)</t>
  </si>
  <si>
    <t>cerca l'eta' di "anna" (con funzione CERCA.VERT)</t>
  </si>
  <si>
    <t>cerca il sesso di "giovanni" sapendo che le colonne nome e sesso sono sfalsate (funzione CERCA.X)</t>
  </si>
  <si>
    <t>tipi di dato</t>
  </si>
  <si>
    <r>
      <rPr>
        <rFont val="Arial"/>
        <b/>
        <color theme="1"/>
      </rPr>
      <t>cerca di fare tutti gli esercizi</t>
    </r>
    <r>
      <rPr>
        <rFont val="Arial"/>
        <b/>
        <color rgb="FFFF0000"/>
      </rPr>
      <t xml:space="preserve"> usando il meno possibile il mouse </t>
    </r>
    <r>
      <rPr>
        <rFont val="Arial"/>
        <b/>
        <color theme="1"/>
      </rPr>
      <t>(non serve quasi mai) e</t>
    </r>
    <r>
      <rPr>
        <rFont val="Arial"/>
        <b/>
        <color rgb="FFB6D7A8"/>
      </rPr>
      <t xml:space="preserve"> </t>
    </r>
    <r>
      <rPr>
        <rFont val="Arial"/>
        <b/>
        <color rgb="FF00FF00"/>
      </rPr>
      <t>il piu' possibile la tastiera</t>
    </r>
  </si>
  <si>
    <t>inserisci nella cella un valore numerico</t>
  </si>
  <si>
    <t>inserisci nella cella un valore numerico con virgola</t>
  </si>
  <si>
    <t>inserisci nella cella un valore testuale</t>
  </si>
  <si>
    <t>inserisci nella cella la data di oggi</t>
  </si>
  <si>
    <t>e' un riferimento? perche?</t>
  </si>
  <si>
    <t>inserisci un riferimento alla cella B2</t>
  </si>
  <si>
    <t>$A$1</t>
  </si>
  <si>
    <t>inserisci un riferimento alla cella B2 con indice di riga bloccato</t>
  </si>
  <si>
    <t>$A1</t>
  </si>
  <si>
    <t>inserisci un riferimento alla cella B2 con indice di colonna bloccato</t>
  </si>
  <si>
    <t>tabella_articolo!A1</t>
  </si>
  <si>
    <t>inserisci un riferimento alla cella B2 con indici bloccati</t>
  </si>
  <si>
    <t>inserisci un riferimento alla cella B2 del foglio input</t>
  </si>
  <si>
    <t>usando il trascinamento in orizzontale genera i numeri da -10 a +10 su questa riga</t>
  </si>
  <si>
    <t>usando il trascinamento in orizzontale genera le date dal primo giorno del mese all'ultimo</t>
  </si>
  <si>
    <t>usando il trascinamento calcola la somma della cella in cui sei con la corrispondente (stessa colonna) di riga 16</t>
  </si>
  <si>
    <t>dati i seguenti dati:</t>
  </si>
  <si>
    <t>calcolare la media</t>
  </si>
  <si>
    <t>calcolare la somma</t>
  </si>
  <si>
    <t>calcolare il minimo</t>
  </si>
  <si>
    <t>calcolare il massimo</t>
  </si>
  <si>
    <t>formatta la cella in grassetto se il numero e' maggiore di 100</t>
  </si>
  <si>
    <t>formatta la cella con testo rosso se il numero e' fra 0 e 50</t>
  </si>
  <si>
    <t>formatta la cella con sfondo verde se la data e' successiva ad oggi</t>
  </si>
  <si>
    <t>formatta la cella con sfondo rosso se la cella e' vuota</t>
  </si>
  <si>
    <t>x</t>
  </si>
  <si>
    <t>y</t>
  </si>
  <si>
    <t>disegna il grafico della funzione y = 3x + 10 usando una funzione con riferimenti e trascinamento</t>
  </si>
  <si>
    <t>disegna un grafico a barre (istogramma) con i dati</t>
  </si>
  <si>
    <t>capitale</t>
  </si>
  <si>
    <t>$</t>
  </si>
  <si>
    <t>funzioni avanzate</t>
  </si>
  <si>
    <t>conta le celle vuote sulla colonna B</t>
  </si>
  <si>
    <t>conta le celle con valore sulla colonna B</t>
  </si>
  <si>
    <t>conta le celle con valore maggiore di 1 sulla colonna B</t>
  </si>
  <si>
    <t>somma i valori della colonna B se maggiori di 1</t>
  </si>
  <si>
    <t>fai la media dei valori della colonna B se maggiori di 2</t>
  </si>
  <si>
    <t>cerca l'eta' di "anna"</t>
  </si>
  <si>
    <t xml:space="preserve">cerca il sesso di "giovanni" sapendo che le colonne nome e sesso sono sfalsate </t>
  </si>
  <si>
    <t>Formattazione condizionale</t>
  </si>
  <si>
    <t>Grafici</t>
  </si>
  <si>
    <t>Percentuali</t>
  </si>
  <si>
    <t>CONTA.VUOTE</t>
  </si>
  <si>
    <t>CONTA.VALORI</t>
  </si>
  <si>
    <t>CONTA.SE</t>
  </si>
  <si>
    <t>SOMMA.SE</t>
  </si>
  <si>
    <t>MEDIA.SE</t>
  </si>
  <si>
    <t>CERCA.VERT</t>
  </si>
  <si>
    <t>CERCA.X</t>
  </si>
  <si>
    <t>filtri</t>
  </si>
  <si>
    <t>id</t>
  </si>
  <si>
    <t>codice</t>
  </si>
  <si>
    <t>prezzo</t>
  </si>
  <si>
    <t>iva</t>
  </si>
  <si>
    <t>unità</t>
  </si>
  <si>
    <t>crea un filtro sulla tabella</t>
  </si>
  <si>
    <t>A1</t>
  </si>
  <si>
    <t xml:space="preserve">vino </t>
  </si>
  <si>
    <t>litri</t>
  </si>
  <si>
    <t>filtra per id 1 e 3</t>
  </si>
  <si>
    <t>A2</t>
  </si>
  <si>
    <t>filtra per codice A1</t>
  </si>
  <si>
    <t>A3</t>
  </si>
  <si>
    <t>latte</t>
  </si>
  <si>
    <t>filtra per nome contenente "i"</t>
  </si>
  <si>
    <t>A4</t>
  </si>
  <si>
    <t>biscotti</t>
  </si>
  <si>
    <t>grammi</t>
  </si>
  <si>
    <t>filtra per iva &gt; 4%</t>
  </si>
  <si>
    <t>filtra per unita' litri</t>
  </si>
  <si>
    <t>convalida dei dati</t>
  </si>
  <si>
    <t>cella</t>
  </si>
  <si>
    <r>
      <rPr>
        <rFont val="Arial"/>
        <b/>
        <color theme="1"/>
      </rPr>
      <t>mostra avviso</t>
    </r>
    <r>
      <rPr>
        <rFont val="Arial"/>
        <color theme="1"/>
      </rPr>
      <t xml:space="preserve"> se la cella non contiene un numero maggiore di 100</t>
    </r>
  </si>
  <si>
    <r>
      <rPr>
        <rFont val="Arial"/>
        <b/>
        <color theme="1"/>
      </rPr>
      <t>rifiuta input</t>
    </r>
    <r>
      <rPr>
        <rFont val="Arial"/>
        <color theme="1"/>
      </rPr>
      <t xml:space="preserve"> se la cella non contiene un numero fra 1 e 10</t>
    </r>
  </si>
  <si>
    <r>
      <rPr>
        <rFont val="Arial"/>
        <b/>
        <color theme="1"/>
      </rPr>
      <t>mostra avviso</t>
    </r>
    <r>
      <rPr>
        <rFont val="Arial"/>
        <color theme="1"/>
      </rPr>
      <t xml:space="preserve"> se la data successiva ad oggi</t>
    </r>
  </si>
  <si>
    <r>
      <rPr>
        <rFont val="Arial"/>
        <b/>
        <color theme="1"/>
      </rPr>
      <t>rifiuta input</t>
    </r>
    <r>
      <rPr>
        <rFont val="Arial"/>
        <color theme="1"/>
      </rPr>
      <t xml:space="preserve"> se viene inserito un indirizzo email invalido</t>
    </r>
  </si>
  <si>
    <t>mario.rossi@gmail.com</t>
  </si>
  <si>
    <t>Menu a tendina</t>
  </si>
  <si>
    <t>con tre opzioni fisse (Lavoratore, Studente e Disoccupato)</t>
  </si>
  <si>
    <t>Lavoratore</t>
  </si>
  <si>
    <t>con gli articoli della tabella_articolo</t>
  </si>
  <si>
    <t>Casella di controllo</t>
  </si>
  <si>
    <t>Ricerca articolo per codice:</t>
  </si>
  <si>
    <t>Ricerca fornitore per codice:</t>
  </si>
  <si>
    <t>telefono</t>
  </si>
  <si>
    <t>email</t>
  </si>
  <si>
    <t>indrizzo</t>
  </si>
  <si>
    <t>partita_iva</t>
  </si>
  <si>
    <t>codice fornitore</t>
  </si>
  <si>
    <t xml:space="preserve">via </t>
  </si>
  <si>
    <t>nome_via</t>
  </si>
  <si>
    <t>numero_civico</t>
  </si>
  <si>
    <t>Ricerca inventario per codice:</t>
  </si>
  <si>
    <t>F2</t>
  </si>
  <si>
    <t xml:space="preserve">mila </t>
  </si>
  <si>
    <t>cantina@rovere.della.luna.it</t>
  </si>
  <si>
    <t>via ottobre 34</t>
  </si>
  <si>
    <t xml:space="preserve">ottobre </t>
  </si>
  <si>
    <t>codice_articolo</t>
  </si>
  <si>
    <t>codice_fornitore</t>
  </si>
  <si>
    <t>posizione</t>
  </si>
  <si>
    <t>nome_articolo</t>
  </si>
  <si>
    <t>quantità</t>
  </si>
  <si>
    <t>F3</t>
  </si>
  <si>
    <t>scaffale 1</t>
  </si>
  <si>
    <t xml:space="preserve">biscotti </t>
  </si>
  <si>
    <t>F1</t>
  </si>
  <si>
    <t>scaffale 2</t>
  </si>
  <si>
    <t>scaffale 3</t>
  </si>
  <si>
    <t xml:space="preserve">latte </t>
  </si>
  <si>
    <t>scaffale 4</t>
  </si>
  <si>
    <t>Crea una convalida con menù a discesa sotto "Descrizione" con i nomi presi dal foglio Prodotti</t>
  </si>
  <si>
    <t>Quantità</t>
  </si>
  <si>
    <t>Descrizione</t>
  </si>
  <si>
    <t>IVA</t>
  </si>
  <si>
    <t>Prezzi unitari</t>
  </si>
  <si>
    <t>Importo</t>
  </si>
  <si>
    <t>Crea una convalida che accetti solo numeri positivi sotto "Quantità"</t>
  </si>
  <si>
    <t>← Usa la funzione cerca.vert() per estrarre dal database le informazioni (IVA, Prezzo unitario)</t>
  </si>
  <si>
    <t xml:space="preserve">Totale Imponibile:    </t>
  </si>
  <si>
    <t>← Qui metti la somma degli importi</t>
  </si>
  <si>
    <t>Imponibile IVA 4%</t>
  </si>
  <si>
    <t>Imponibile IVA 10%</t>
  </si>
  <si>
    <t>Imponibile IVA 22%</t>
  </si>
  <si>
    <t>← Usa la funzione somma.se() per calcolare gli imponibili di ciasciuna sezione delle tasse</t>
  </si>
  <si>
    <t>IVA 4%</t>
  </si>
  <si>
    <t>IVA 10%</t>
  </si>
  <si>
    <t>IVA 22%</t>
  </si>
  <si>
    <t>← Calcola le tasse per ciasciun imponibile</t>
  </si>
  <si>
    <t>Totale IVA</t>
  </si>
  <si>
    <t>Totale Fattura</t>
  </si>
  <si>
    <t>← Somma le tasse e calcola il totale della fattura!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</si>
</sst>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.mm"/>
    <numFmt numFmtId="165" formatCode="dd/mm/yyyy"/>
    <numFmt numFmtId="166" formatCode="dd/mm"/>
    <numFmt numFmtId="167" formatCode="[$€-2]\ #,##0.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/>
  </fonts>
  <fills count="12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3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right style="dotted">
        <color rgb="FF000000"/>
      </right>
    </border>
    <border>
      <left style="dotted">
        <color rgb="FF000000"/>
      </left>
    </border>
    <border>
      <right style="thick">
        <color rgb="FF000000"/>
      </right>
    </border>
    <border>
      <left style="thick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right style="thick">
        <color rgb="FF000000"/>
      </right>
      <bottom style="dotted">
        <color rgb="FF000000"/>
      </bottom>
    </border>
    <border>
      <left style="thick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right style="thick">
        <color rgb="FF000000"/>
      </right>
      <top style="dotted">
        <color rgb="FF000000"/>
      </top>
    </border>
    <border>
      <right style="dotted">
        <color rgb="FF000000"/>
      </right>
      <top style="thin">
        <color rgb="FF000000"/>
      </top>
    </border>
    <border>
      <left style="dotted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0" fillId="3" fontId="2" numFmtId="0" xfId="0" applyFill="1" applyFont="1"/>
    <xf borderId="0" fillId="0" fontId="2" numFmtId="0" xfId="0" applyAlignment="1" applyFont="1">
      <alignment horizontal="center"/>
    </xf>
    <xf borderId="0" fillId="4" fontId="2" numFmtId="0" xfId="0" applyAlignment="1" applyFill="1" applyFont="1">
      <alignment horizontal="center" readingOrder="0"/>
    </xf>
    <xf borderId="0" fillId="5" fontId="2" numFmtId="165" xfId="0" applyAlignment="1" applyFill="1" applyFont="1" applyNumberFormat="1">
      <alignment horizontal="center" readingOrder="0"/>
    </xf>
    <xf borderId="0" fillId="5" fontId="2" numFmtId="0" xfId="0" applyAlignment="1" applyFont="1">
      <alignment horizontal="center"/>
    </xf>
    <xf borderId="0" fillId="5" fontId="2" numFmtId="0" xfId="0" applyFont="1"/>
    <xf borderId="0" fillId="5" fontId="2" numFmtId="0" xfId="0" applyAlignment="1" applyFont="1">
      <alignment readingOrder="0"/>
    </xf>
    <xf borderId="0" fillId="6" fontId="2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5" fontId="2" numFmtId="166" xfId="0" applyAlignment="1" applyFont="1" applyNumberFormat="1">
      <alignment horizontal="center" readingOrder="0"/>
    </xf>
    <xf borderId="0" fillId="5" fontId="2" numFmtId="0" xfId="0" applyAlignment="1" applyFont="1">
      <alignment horizontal="center" readingOrder="0"/>
    </xf>
    <xf borderId="0" fillId="5" fontId="2" numFmtId="165" xfId="0" applyAlignment="1" applyFont="1" applyNumberFormat="1">
      <alignment readingOrder="0"/>
    </xf>
    <xf borderId="0" fillId="5" fontId="1" numFmtId="0" xfId="0" applyAlignment="1" applyFont="1">
      <alignment readingOrder="0"/>
    </xf>
    <xf borderId="0" fillId="8" fontId="2" numFmtId="165" xfId="0" applyAlignment="1" applyFill="1" applyFont="1" applyNumberFormat="1">
      <alignment readingOrder="0"/>
    </xf>
    <xf borderId="0" fillId="8" fontId="2" numFmtId="0" xfId="0" applyFont="1"/>
    <xf borderId="0" fillId="9" fontId="2" numFmtId="0" xfId="0" applyAlignment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10" fontId="1" numFmtId="0" xfId="0" applyAlignment="1" applyBorder="1" applyFill="1" applyFont="1">
      <alignment readingOrder="0"/>
    </xf>
    <xf borderId="1" fillId="5" fontId="2" numFmtId="0" xfId="0" applyAlignment="1" applyBorder="1" applyFont="1">
      <alignment readingOrder="0"/>
    </xf>
    <xf borderId="1" fillId="5" fontId="2" numFmtId="0" xfId="0" applyBorder="1" applyFont="1"/>
    <xf borderId="0" fillId="11" fontId="1" numFmtId="0" xfId="0" applyAlignment="1" applyFill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11" fontId="2" numFmtId="0" xfId="0" applyAlignment="1" applyFont="1">
      <alignment readingOrder="0"/>
    </xf>
    <xf borderId="1" fillId="11" fontId="1" numFmtId="0" xfId="0" applyAlignment="1" applyBorder="1" applyFont="1">
      <alignment horizontal="center"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1" fillId="3" fontId="1" numFmtId="0" xfId="0" applyAlignment="1" applyBorder="1" applyFont="1">
      <alignment horizontal="center" readingOrder="0"/>
    </xf>
    <xf borderId="1" fillId="3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11" fontId="4" numFmtId="0" xfId="0" applyAlignment="1" applyFont="1">
      <alignment vertical="bottom"/>
    </xf>
    <xf borderId="2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vertical="bottom"/>
    </xf>
    <xf borderId="4" fillId="0" fontId="5" numFmtId="0" xfId="0" applyBorder="1" applyFont="1"/>
    <xf borderId="5" fillId="0" fontId="5" numFmtId="0" xfId="0" applyBorder="1" applyFont="1"/>
    <xf borderId="5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0" fillId="11" fontId="4" numFmtId="0" xfId="0" applyAlignment="1" applyFont="1">
      <alignment horizontal="center" shrinkToFit="0" vertical="bottom" wrapText="1"/>
    </xf>
    <xf borderId="7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9" fillId="0" fontId="5" numFmtId="0" xfId="0" applyBorder="1" applyFont="1"/>
    <xf borderId="10" fillId="0" fontId="5" numFmtId="0" xfId="0" applyBorder="1" applyFont="1"/>
    <xf borderId="10" fillId="0" fontId="4" numFmtId="10" xfId="0" applyAlignment="1" applyBorder="1" applyFont="1" applyNumberFormat="1">
      <alignment vertical="bottom"/>
    </xf>
    <xf borderId="10" fillId="0" fontId="4" numFmtId="167" xfId="0" applyAlignment="1" applyBorder="1" applyFont="1" applyNumberFormat="1">
      <alignment vertical="bottom"/>
    </xf>
    <xf borderId="11" fillId="0" fontId="4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13" fillId="0" fontId="4" numFmtId="0" xfId="0" applyAlignment="1" applyBorder="1" applyFont="1">
      <alignment vertical="bottom"/>
    </xf>
    <xf borderId="14" fillId="0" fontId="4" numFmtId="0" xfId="0" applyAlignment="1" applyBorder="1" applyFont="1">
      <alignment vertical="bottom"/>
    </xf>
    <xf borderId="15" fillId="0" fontId="4" numFmtId="0" xfId="0" applyAlignment="1" applyBorder="1" applyFont="1">
      <alignment vertical="bottom"/>
    </xf>
    <xf borderId="16" fillId="0" fontId="5" numFmtId="0" xfId="0" applyBorder="1" applyFont="1"/>
    <xf borderId="13" fillId="0" fontId="5" numFmtId="0" xfId="0" applyBorder="1" applyFont="1"/>
    <xf borderId="17" fillId="0" fontId="3" numFmtId="0" xfId="0" applyAlignment="1" applyBorder="1" applyFont="1">
      <alignment horizontal="right" vertical="bottom"/>
    </xf>
    <xf borderId="18" fillId="0" fontId="5" numFmtId="0" xfId="0" applyBorder="1" applyFont="1"/>
    <xf borderId="19" fillId="0" fontId="4" numFmtId="0" xfId="0" applyAlignment="1" applyBorder="1" applyFont="1">
      <alignment vertical="bottom"/>
    </xf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23" fillId="0" fontId="4" numFmtId="0" xfId="0" applyAlignment="1" applyBorder="1" applyFont="1">
      <alignment horizontal="center" vertical="bottom"/>
    </xf>
    <xf borderId="24" fillId="0" fontId="5" numFmtId="0" xfId="0" applyBorder="1" applyFont="1"/>
    <xf borderId="25" fillId="0" fontId="4" numFmtId="0" xfId="0" applyAlignment="1" applyBorder="1" applyFont="1">
      <alignment horizontal="center" vertical="bottom"/>
    </xf>
    <xf borderId="26" fillId="0" fontId="5" numFmtId="0" xfId="0" applyBorder="1" applyFont="1"/>
    <xf borderId="27" fillId="0" fontId="5" numFmtId="0" xfId="0" applyBorder="1" applyFont="1"/>
    <xf borderId="28" fillId="0" fontId="5" numFmtId="0" xfId="0" applyBorder="1" applyFont="1"/>
    <xf borderId="29" fillId="0" fontId="5" numFmtId="0" xfId="0" applyBorder="1" applyFont="1"/>
    <xf borderId="30" fillId="0" fontId="5" numFmtId="0" xfId="0" applyBorder="1" applyFont="1"/>
    <xf borderId="31" fillId="0" fontId="5" numFmtId="0" xfId="0" applyBorder="1" applyFont="1"/>
    <xf borderId="32" fillId="0" fontId="4" numFmtId="0" xfId="0" applyAlignment="1" applyBorder="1" applyFont="1">
      <alignment vertical="bottom"/>
    </xf>
    <xf borderId="33" fillId="0" fontId="5" numFmtId="0" xfId="0" applyBorder="1" applyFont="1"/>
    <xf borderId="34" fillId="0" fontId="5" numFmtId="0" xfId="0" applyBorder="1" applyFont="1"/>
    <xf borderId="35" fillId="0" fontId="4" numFmtId="0" xfId="0" applyAlignment="1" applyBorder="1" applyFont="1">
      <alignment vertical="bottom"/>
    </xf>
    <xf borderId="36" fillId="0" fontId="5" numFmtId="0" xfId="0" applyBorder="1" applyFont="1"/>
    <xf borderId="17" fillId="0" fontId="4" numFmtId="0" xfId="0" applyAlignment="1" applyBorder="1" applyFont="1">
      <alignment horizontal="center" vertical="bottom"/>
    </xf>
    <xf borderId="37" fillId="0" fontId="5" numFmtId="0" xfId="0" applyBorder="1" applyFont="1"/>
    <xf borderId="38" fillId="0" fontId="4" numFmtId="0" xfId="0" applyAlignment="1" applyBorder="1" applyFont="1">
      <alignment horizontal="center" vertical="bottom"/>
    </xf>
    <xf borderId="19" fillId="0" fontId="5" numFmtId="0" xfId="0" applyBorder="1" applyFont="1"/>
    <xf borderId="23" fillId="0" fontId="5" numFmtId="0" xfId="0" applyBorder="1" applyFont="1"/>
    <xf borderId="25" fillId="0" fontId="5" numFmtId="0" xfId="0" applyBorder="1" applyFont="1"/>
    <xf borderId="4" fillId="0" fontId="4" numFmtId="0" xfId="0" applyAlignment="1" applyBorder="1" applyFont="1">
      <alignment horizontal="center" vertical="bottom"/>
    </xf>
    <xf borderId="6" fillId="0" fontId="5" numFmtId="0" xfId="0" applyBorder="1" applyFont="1"/>
    <xf borderId="23" fillId="0" fontId="4" numFmtId="0" xfId="0" applyAlignment="1" applyBorder="1" applyFont="1">
      <alignment vertical="bottom"/>
    </xf>
  </cellXfs>
  <cellStyles count="1">
    <cellStyle xfId="0" name="Normal" builtinId="0"/>
  </cellStyles>
  <dxfs count="5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grafico 🤩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grafici!$C$1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grafici!$B$2:$B$11</c:f>
            </c:strRef>
          </c:cat>
          <c:val>
            <c:numRef>
              <c:f>grafici!$C$2:$C$11</c:f>
              <c:numCache/>
            </c:numRef>
          </c:val>
          <c:smooth val="0"/>
        </c:ser>
        <c:axId val="1163923086"/>
        <c:axId val="1428872640"/>
      </c:lineChart>
      <c:catAx>
        <c:axId val="1163923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8872640"/>
      </c:catAx>
      <c:valAx>
        <c:axId val="14288726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39230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Relationship Id="rId3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5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Relationship Id="rId3" Type="http://schemas.openxmlformats.org/officeDocument/2006/relationships/image" Target="../media/image12.png"/><Relationship Id="rId4" Type="http://schemas.openxmlformats.org/officeDocument/2006/relationships/image" Target="../media/image6.png"/><Relationship Id="rId5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1</xdr:row>
      <xdr:rowOff>95250</xdr:rowOff>
    </xdr:from>
    <xdr:ext cx="3200400" cy="752475"/>
    <xdr:pic>
      <xdr:nvPicPr>
        <xdr:cNvPr id="0" name="image8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12</xdr:row>
      <xdr:rowOff>66675</xdr:rowOff>
    </xdr:from>
    <xdr:ext cx="3019425" cy="2657475"/>
    <xdr:pic>
      <xdr:nvPicPr>
        <xdr:cNvPr id="0" name="image10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</xdr:row>
      <xdr:rowOff>171450</xdr:rowOff>
    </xdr:from>
    <xdr:ext cx="3524250" cy="1228725"/>
    <xdr:pic>
      <xdr:nvPicPr>
        <xdr:cNvPr id="0" name="image4.png" title="Immagin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0</xdr:row>
      <xdr:rowOff>0</xdr:rowOff>
    </xdr:from>
    <xdr:ext cx="3495675" cy="2181225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695325</xdr:colOff>
      <xdr:row>1</xdr:row>
      <xdr:rowOff>200025</xdr:rowOff>
    </xdr:from>
    <xdr:ext cx="3228975" cy="628650"/>
    <xdr:pic>
      <xdr:nvPicPr>
        <xdr:cNvPr id="0" name="image5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704850</xdr:colOff>
      <xdr:row>5</xdr:row>
      <xdr:rowOff>104775</xdr:rowOff>
    </xdr:from>
    <xdr:ext cx="3152775" cy="381000"/>
    <xdr:pic>
      <xdr:nvPicPr>
        <xdr:cNvPr id="0" name="image3.png" title="Immagin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533400</xdr:colOff>
      <xdr:row>8</xdr:row>
      <xdr:rowOff>66675</xdr:rowOff>
    </xdr:from>
    <xdr:ext cx="3495675" cy="1066800"/>
    <xdr:pic>
      <xdr:nvPicPr>
        <xdr:cNvPr id="0" name="image1.png" title="Immagin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704850</xdr:colOff>
      <xdr:row>14</xdr:row>
      <xdr:rowOff>114300</xdr:rowOff>
    </xdr:from>
    <xdr:ext cx="3219450" cy="4152900"/>
    <xdr:pic>
      <xdr:nvPicPr>
        <xdr:cNvPr id="0" name="image7.png" title="Immagin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838200</xdr:colOff>
      <xdr:row>1</xdr:row>
      <xdr:rowOff>114300</xdr:rowOff>
    </xdr:from>
    <xdr:ext cx="3381375" cy="619125"/>
    <xdr:pic>
      <xdr:nvPicPr>
        <xdr:cNvPr id="0" name="image1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914400</xdr:colOff>
      <xdr:row>4</xdr:row>
      <xdr:rowOff>190500</xdr:rowOff>
    </xdr:from>
    <xdr:ext cx="3228975" cy="39052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1533525</xdr:colOff>
      <xdr:row>8</xdr:row>
      <xdr:rowOff>19050</xdr:rowOff>
    </xdr:from>
    <xdr:ext cx="1809750" cy="1114425"/>
    <xdr:pic>
      <xdr:nvPicPr>
        <xdr:cNvPr id="0" name="image12.png" title="Immagin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914400</xdr:colOff>
      <xdr:row>26</xdr:row>
      <xdr:rowOff>104775</xdr:rowOff>
    </xdr:from>
    <xdr:ext cx="3238500" cy="657225"/>
    <xdr:pic>
      <xdr:nvPicPr>
        <xdr:cNvPr id="0" name="image6.png" title="Immagin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29</xdr:row>
      <xdr:rowOff>161925</xdr:rowOff>
    </xdr:from>
    <xdr:ext cx="3152775" cy="371475"/>
    <xdr:pic>
      <xdr:nvPicPr>
        <xdr:cNvPr id="0" name="image9.png" title="Immagin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25"/>
  </cols>
  <sheetData>
    <row r="1">
      <c r="A1" s="1" t="s">
        <v>0</v>
      </c>
      <c r="B1" s="1" t="s">
        <v>1</v>
      </c>
    </row>
    <row r="2">
      <c r="A2" s="2" t="s">
        <v>2</v>
      </c>
      <c r="B2" s="2">
        <v>314.0</v>
      </c>
      <c r="C2" s="2"/>
    </row>
    <row r="3">
      <c r="A3" s="2" t="s">
        <v>3</v>
      </c>
      <c r="B3" s="3">
        <v>0.13472222222222222</v>
      </c>
    </row>
    <row r="4">
      <c r="A4" s="2" t="s">
        <v>4</v>
      </c>
      <c r="B4" s="2" t="s">
        <v>5</v>
      </c>
    </row>
    <row r="5">
      <c r="A5" s="2" t="s">
        <v>6</v>
      </c>
      <c r="B5" s="4">
        <v>46126.0</v>
      </c>
    </row>
    <row r="7">
      <c r="A7" s="5" t="s">
        <v>7</v>
      </c>
    </row>
    <row r="8">
      <c r="A8" s="2" t="s">
        <v>8</v>
      </c>
      <c r="B8" s="2" t="s">
        <v>9</v>
      </c>
    </row>
    <row r="9">
      <c r="A9" s="2" t="s">
        <v>10</v>
      </c>
      <c r="B9" s="6">
        <f>B2</f>
        <v>314</v>
      </c>
    </row>
    <row r="10">
      <c r="A10" s="2" t="s">
        <v>11</v>
      </c>
      <c r="B10" s="6">
        <f>$B2</f>
        <v>314</v>
      </c>
    </row>
    <row r="11">
      <c r="A11" s="2" t="s">
        <v>12</v>
      </c>
      <c r="B11" s="6">
        <f>B$2</f>
        <v>314</v>
      </c>
    </row>
    <row r="12">
      <c r="A12" s="2" t="s">
        <v>13</v>
      </c>
      <c r="B12" s="6">
        <f>$B$2</f>
        <v>314</v>
      </c>
    </row>
    <row r="13">
      <c r="A13" s="2" t="s">
        <v>14</v>
      </c>
    </row>
    <row r="15">
      <c r="A15" s="5" t="s">
        <v>15</v>
      </c>
    </row>
    <row r="16">
      <c r="A16" s="2" t="s">
        <v>16</v>
      </c>
      <c r="B16" s="6">
        <f>1+2*3/4</f>
        <v>2.5</v>
      </c>
    </row>
    <row r="17">
      <c r="A17" s="2" t="s">
        <v>17</v>
      </c>
      <c r="B17" s="6">
        <f>1+B9*B2/4</f>
        <v>24650</v>
      </c>
    </row>
    <row r="18">
      <c r="A18" s="2" t="s">
        <v>18</v>
      </c>
      <c r="B18" s="6">
        <f>SUM(1)</f>
        <v>1</v>
      </c>
    </row>
    <row r="19">
      <c r="A19" s="2" t="s">
        <v>19</v>
      </c>
      <c r="B19" s="6">
        <f>SUM(B2)</f>
        <v>314</v>
      </c>
    </row>
    <row r="20">
      <c r="A20" s="2" t="s">
        <v>20</v>
      </c>
      <c r="B20" s="6">
        <f>SUM(B2:B4)</f>
        <v>314.1347222</v>
      </c>
    </row>
    <row r="22">
      <c r="A22" s="5" t="s">
        <v>21</v>
      </c>
      <c r="B22" s="7" t="s">
        <v>22</v>
      </c>
    </row>
    <row r="23">
      <c r="B23" s="8">
        <v>1.0</v>
      </c>
    </row>
    <row r="24">
      <c r="B24" s="8">
        <v>2.0</v>
      </c>
    </row>
    <row r="25">
      <c r="B25" s="8">
        <v>3.0</v>
      </c>
    </row>
    <row r="26">
      <c r="B26" s="8">
        <v>4.0</v>
      </c>
    </row>
    <row r="27">
      <c r="B27" s="8">
        <v>5.0</v>
      </c>
    </row>
    <row r="29">
      <c r="A29" s="2" t="s">
        <v>23</v>
      </c>
      <c r="B29" s="9">
        <f>SUM(B23:B27)</f>
        <v>15</v>
      </c>
    </row>
    <row r="30">
      <c r="A30" s="2" t="s">
        <v>24</v>
      </c>
      <c r="B30" s="9">
        <f>AVERAGE(B23:B27)</f>
        <v>3</v>
      </c>
    </row>
    <row r="31">
      <c r="A31" s="2" t="s">
        <v>25</v>
      </c>
      <c r="B31" s="9">
        <f>MIN(B23:B27)</f>
        <v>1</v>
      </c>
    </row>
    <row r="32">
      <c r="A32" s="2" t="s">
        <v>26</v>
      </c>
      <c r="B32" s="9">
        <f>MAX(B23:B27)</f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0"/>
    <col customWidth="1" min="3" max="3" width="3.5"/>
    <col customWidth="1" min="4" max="4" width="2.88"/>
    <col customWidth="1" min="5" max="6" width="3.0"/>
    <col customWidth="1" min="7" max="7" width="3.13"/>
    <col customWidth="1" min="8" max="8" width="3.63"/>
    <col customWidth="1" min="9" max="9" width="3.38"/>
    <col customWidth="1" min="10" max="10" width="3.75"/>
    <col customWidth="1" min="11" max="11" width="3.63"/>
    <col customWidth="1" min="12" max="12" width="3.25"/>
    <col customWidth="1" min="13" max="13" width="3.5"/>
    <col customWidth="1" min="14" max="14" width="3.63"/>
    <col customWidth="1" min="15" max="15" width="3.88"/>
  </cols>
  <sheetData>
    <row r="1">
      <c r="A1" s="10"/>
      <c r="B1" s="10"/>
      <c r="C1" s="10"/>
      <c r="D1" s="11">
        <v>-3.0</v>
      </c>
      <c r="E1" s="12"/>
      <c r="F1" s="13"/>
      <c r="G1" s="13"/>
      <c r="H1" s="14"/>
      <c r="I1" s="13"/>
      <c r="J1" s="13"/>
      <c r="K1" s="13"/>
      <c r="L1" s="13"/>
      <c r="M1" s="13"/>
      <c r="N1" s="13"/>
      <c r="O1" s="14"/>
      <c r="P1" s="14"/>
      <c r="Q1" s="14"/>
      <c r="R1" s="14"/>
      <c r="S1" s="14"/>
      <c r="T1" s="14"/>
      <c r="U1" s="14"/>
      <c r="V1" s="14" t="str">
        <f>T6</f>
        <v/>
      </c>
      <c r="W1" s="14"/>
      <c r="X1" s="14"/>
      <c r="Y1" s="14"/>
      <c r="Z1" s="14"/>
    </row>
    <row r="2">
      <c r="A2" s="12"/>
      <c r="B2" s="12"/>
      <c r="C2" s="12"/>
      <c r="D2" s="11">
        <v>-2.0</v>
      </c>
      <c r="E2" s="13"/>
      <c r="F2" s="13"/>
      <c r="G2" s="13"/>
      <c r="H2" s="14"/>
      <c r="I2" s="13"/>
      <c r="J2" s="13"/>
      <c r="K2" s="13"/>
      <c r="L2" s="13"/>
      <c r="M2" s="13"/>
      <c r="N2" s="13"/>
      <c r="O2" s="14"/>
      <c r="P2" s="15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2"/>
      <c r="B3" s="13"/>
      <c r="C3" s="13"/>
      <c r="D3" s="11">
        <v>-1.0</v>
      </c>
      <c r="E3" s="13"/>
      <c r="F3" s="13"/>
      <c r="G3" s="13"/>
      <c r="H3" s="14"/>
      <c r="I3" s="13"/>
      <c r="J3" s="13"/>
      <c r="K3" s="13"/>
      <c r="L3" s="13"/>
      <c r="M3" s="13"/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6">
        <v>-3.0</v>
      </c>
      <c r="B4" s="16">
        <v>-2.0</v>
      </c>
      <c r="C4" s="16">
        <v>-1.0</v>
      </c>
      <c r="D4" s="17">
        <v>0.0</v>
      </c>
      <c r="E4" s="18">
        <v>1.0</v>
      </c>
      <c r="F4" s="18">
        <v>2.0</v>
      </c>
      <c r="G4" s="18">
        <v>3.0</v>
      </c>
      <c r="H4" s="14"/>
      <c r="I4" s="13"/>
      <c r="J4" s="13"/>
      <c r="L4" s="13"/>
      <c r="M4" s="13"/>
      <c r="N4" s="13"/>
      <c r="O4" s="14"/>
      <c r="P4" s="14"/>
      <c r="Q4" s="14"/>
      <c r="R4" s="15"/>
      <c r="S4" s="14"/>
      <c r="T4" s="14"/>
      <c r="U4" s="14"/>
      <c r="V4" s="14"/>
      <c r="W4" s="14"/>
      <c r="X4" s="14"/>
      <c r="Y4" s="14"/>
      <c r="Z4" s="14"/>
    </row>
    <row r="5">
      <c r="A5" s="12"/>
      <c r="B5" s="13"/>
      <c r="C5" s="13"/>
      <c r="D5" s="19">
        <v>1.0</v>
      </c>
      <c r="E5" s="13"/>
      <c r="F5" s="13"/>
      <c r="G5" s="13"/>
      <c r="H5" s="14"/>
      <c r="I5" s="13"/>
      <c r="J5" s="13"/>
      <c r="K5" s="13"/>
      <c r="L5" s="13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2"/>
      <c r="B6" s="13"/>
      <c r="C6" s="13"/>
      <c r="D6" s="19">
        <v>2.0</v>
      </c>
      <c r="E6" s="13"/>
      <c r="F6" s="13"/>
      <c r="G6" s="20"/>
      <c r="H6" s="14"/>
      <c r="I6" s="13"/>
      <c r="J6" s="13"/>
      <c r="K6" s="13"/>
      <c r="L6" s="13"/>
      <c r="M6" s="13"/>
      <c r="N6" s="13"/>
      <c r="O6" s="14"/>
      <c r="P6" s="14"/>
      <c r="Q6" s="14"/>
      <c r="R6" s="14"/>
      <c r="S6" s="14"/>
      <c r="T6" s="15"/>
      <c r="U6" s="14"/>
      <c r="V6" s="14"/>
      <c r="W6" s="14"/>
      <c r="X6" s="14"/>
      <c r="Y6" s="14"/>
      <c r="Z6" s="14"/>
    </row>
    <row r="7">
      <c r="A7" s="21"/>
      <c r="B7" s="21"/>
      <c r="C7" s="21"/>
      <c r="D7" s="19">
        <v>3.0</v>
      </c>
      <c r="E7" s="21"/>
      <c r="F7" s="21"/>
      <c r="G7" s="21"/>
      <c r="H7" s="14"/>
      <c r="I7" s="13"/>
      <c r="J7" s="13"/>
      <c r="K7" s="13"/>
      <c r="L7" s="13"/>
      <c r="M7" s="13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2"/>
      <c r="B8" s="14"/>
      <c r="C8" s="14"/>
      <c r="D8" s="15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3" t="s">
        <v>27</v>
      </c>
      <c r="B9" s="14"/>
      <c r="C9" s="14"/>
      <c r="D9" s="15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 t="s">
        <v>28</v>
      </c>
      <c r="B10" s="14"/>
      <c r="C10" s="14"/>
      <c r="D10" s="15"/>
      <c r="E10" s="14"/>
      <c r="F10" s="14"/>
      <c r="G10" s="14"/>
      <c r="H10" s="14"/>
      <c r="I10" s="15" t="s">
        <v>29</v>
      </c>
      <c r="J10" s="14"/>
      <c r="K10" s="14"/>
      <c r="L10" s="15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2"/>
      <c r="B11" s="23"/>
      <c r="C11" s="14"/>
      <c r="D11" s="15"/>
      <c r="E11" s="14"/>
      <c r="F11" s="14"/>
      <c r="G11" s="14"/>
      <c r="H11" s="14"/>
      <c r="I11" s="22"/>
      <c r="J11" s="23"/>
      <c r="K11" s="14"/>
      <c r="L11" s="15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4"/>
      <c r="B12" s="25"/>
      <c r="C12" s="25"/>
      <c r="D12" s="17">
        <v>0.0</v>
      </c>
      <c r="E12" s="25"/>
      <c r="F12" s="25"/>
      <c r="G12" s="25"/>
      <c r="H12" s="14"/>
      <c r="I12" s="24"/>
      <c r="J12" s="25"/>
      <c r="K12" s="25"/>
      <c r="L12" s="17">
        <f t="shared" ref="L12:L14" si="1">D1</f>
        <v>-3</v>
      </c>
      <c r="M12" s="25"/>
      <c r="N12" s="25"/>
      <c r="O12" s="25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4"/>
      <c r="B13" s="25"/>
      <c r="C13" s="25"/>
      <c r="D13" s="17">
        <v>0.0</v>
      </c>
      <c r="E13" s="25"/>
      <c r="F13" s="25"/>
      <c r="G13" s="25"/>
      <c r="H13" s="14"/>
      <c r="I13" s="24"/>
      <c r="J13" s="25"/>
      <c r="K13" s="25"/>
      <c r="L13" s="17">
        <f t="shared" si="1"/>
        <v>-2</v>
      </c>
      <c r="M13" s="25"/>
      <c r="N13" s="25"/>
      <c r="O13" s="25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4"/>
      <c r="B14" s="25"/>
      <c r="C14" s="25"/>
      <c r="D14" s="17">
        <v>0.0</v>
      </c>
      <c r="E14" s="25"/>
      <c r="F14" s="25"/>
      <c r="G14" s="25"/>
      <c r="H14" s="14"/>
      <c r="I14" s="24"/>
      <c r="J14" s="25"/>
      <c r="K14" s="25"/>
      <c r="L14" s="17">
        <f t="shared" si="1"/>
        <v>-1</v>
      </c>
      <c r="M14" s="25"/>
      <c r="N14" s="25"/>
      <c r="O14" s="25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>
        <v>0.0</v>
      </c>
      <c r="B15" s="17">
        <v>0.0</v>
      </c>
      <c r="C15" s="17">
        <v>0.0</v>
      </c>
      <c r="D15" s="17" t="s">
        <v>30</v>
      </c>
      <c r="E15" s="17">
        <v>0.0</v>
      </c>
      <c r="F15" s="17">
        <v>0.0</v>
      </c>
      <c r="G15" s="17">
        <v>0.0</v>
      </c>
      <c r="H15" s="14"/>
      <c r="I15" s="17">
        <f t="shared" ref="I15:O15" si="2">A4</f>
        <v>-3</v>
      </c>
      <c r="J15" s="17">
        <f t="shared" si="2"/>
        <v>-2</v>
      </c>
      <c r="K15" s="17">
        <f t="shared" si="2"/>
        <v>-1</v>
      </c>
      <c r="L15" s="17">
        <f t="shared" si="2"/>
        <v>0</v>
      </c>
      <c r="M15" s="17">
        <f t="shared" si="2"/>
        <v>1</v>
      </c>
      <c r="N15" s="17">
        <f t="shared" si="2"/>
        <v>2</v>
      </c>
      <c r="O15" s="17">
        <f t="shared" si="2"/>
        <v>3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4"/>
      <c r="B16" s="25"/>
      <c r="C16" s="25"/>
      <c r="D16" s="17" t="s">
        <v>30</v>
      </c>
      <c r="E16" s="25"/>
      <c r="F16" s="25"/>
      <c r="G16" s="25"/>
      <c r="H16" s="14"/>
      <c r="I16" s="24"/>
      <c r="J16" s="25"/>
      <c r="K16" s="25"/>
      <c r="L16" s="17">
        <f t="shared" ref="L16:L18" si="3">D5</f>
        <v>1</v>
      </c>
      <c r="M16" s="25"/>
      <c r="N16" s="25"/>
      <c r="O16" s="25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4"/>
      <c r="B17" s="25"/>
      <c r="C17" s="25"/>
      <c r="D17" s="17" t="s">
        <v>30</v>
      </c>
      <c r="E17" s="25"/>
      <c r="F17" s="25"/>
      <c r="G17" s="25"/>
      <c r="H17" s="14"/>
      <c r="I17" s="24"/>
      <c r="J17" s="25"/>
      <c r="K17" s="25"/>
      <c r="L17" s="17">
        <f t="shared" si="3"/>
        <v>2</v>
      </c>
      <c r="M17" s="25"/>
      <c r="N17" s="25"/>
      <c r="O17" s="25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4"/>
      <c r="B18" s="25"/>
      <c r="C18" s="25"/>
      <c r="D18" s="17" t="s">
        <v>30</v>
      </c>
      <c r="E18" s="25"/>
      <c r="F18" s="25"/>
      <c r="G18" s="25"/>
      <c r="H18" s="14"/>
      <c r="I18" s="24"/>
      <c r="J18" s="25"/>
      <c r="K18" s="25"/>
      <c r="L18" s="17">
        <f t="shared" si="3"/>
        <v>3</v>
      </c>
      <c r="M18" s="25"/>
      <c r="N18" s="25"/>
      <c r="O18" s="25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2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 t="s">
        <v>31</v>
      </c>
      <c r="B20" s="14"/>
      <c r="C20" s="14"/>
      <c r="D20" s="15"/>
      <c r="E20" s="14"/>
      <c r="F20" s="14"/>
      <c r="G20" s="14"/>
      <c r="H20" s="14"/>
      <c r="I20" s="15" t="s">
        <v>32</v>
      </c>
      <c r="J20" s="14"/>
      <c r="K20" s="14"/>
      <c r="L20" s="15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2"/>
      <c r="B21" s="23"/>
      <c r="C21" s="14"/>
      <c r="D21" s="15"/>
      <c r="E21" s="14"/>
      <c r="F21" s="14"/>
      <c r="G21" s="14"/>
      <c r="H21" s="14"/>
      <c r="I21" s="22"/>
      <c r="J21" s="23"/>
      <c r="K21" s="14"/>
      <c r="L21" s="15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24"/>
      <c r="B22" s="25"/>
      <c r="C22" s="25"/>
      <c r="D22" s="17">
        <f t="shared" ref="D22:D24" si="4">$D1</f>
        <v>-3</v>
      </c>
      <c r="E22" s="25"/>
      <c r="F22" s="25"/>
      <c r="G22" s="25"/>
      <c r="H22" s="14"/>
      <c r="I22" s="24"/>
      <c r="J22" s="25"/>
      <c r="K22" s="25"/>
      <c r="L22" s="26">
        <f t="shared" ref="L22:L24" si="5">D$4</f>
        <v>0</v>
      </c>
      <c r="M22" s="25"/>
      <c r="N22" s="25"/>
      <c r="O22" s="25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24"/>
      <c r="B23" s="25"/>
      <c r="C23" s="25"/>
      <c r="D23" s="17">
        <f t="shared" si="4"/>
        <v>-2</v>
      </c>
      <c r="E23" s="25"/>
      <c r="F23" s="25"/>
      <c r="G23" s="25"/>
      <c r="H23" s="14"/>
      <c r="I23" s="24"/>
      <c r="J23" s="25"/>
      <c r="K23" s="25"/>
      <c r="L23" s="26">
        <f t="shared" si="5"/>
        <v>0</v>
      </c>
      <c r="M23" s="25"/>
      <c r="N23" s="25"/>
      <c r="O23" s="25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4"/>
      <c r="B24" s="25"/>
      <c r="C24" s="25"/>
      <c r="D24" s="17">
        <f t="shared" si="4"/>
        <v>-1</v>
      </c>
      <c r="E24" s="25"/>
      <c r="F24" s="25"/>
      <c r="G24" s="25"/>
      <c r="H24" s="14"/>
      <c r="I24" s="24"/>
      <c r="J24" s="25"/>
      <c r="K24" s="25"/>
      <c r="L24" s="26">
        <f t="shared" si="5"/>
        <v>0</v>
      </c>
      <c r="M24" s="25"/>
      <c r="N24" s="25"/>
      <c r="O24" s="25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6">
        <f t="shared" ref="A25:G25" si="6">$D4</f>
        <v>0</v>
      </c>
      <c r="B25" s="26">
        <f t="shared" si="6"/>
        <v>0</v>
      </c>
      <c r="C25" s="26">
        <f t="shared" si="6"/>
        <v>0</v>
      </c>
      <c r="D25" s="17">
        <f t="shared" si="6"/>
        <v>0</v>
      </c>
      <c r="E25" s="26">
        <f t="shared" si="6"/>
        <v>0</v>
      </c>
      <c r="F25" s="26">
        <f t="shared" si="6"/>
        <v>0</v>
      </c>
      <c r="G25" s="26">
        <f t="shared" si="6"/>
        <v>0</v>
      </c>
      <c r="H25" s="14"/>
      <c r="I25" s="17">
        <f t="shared" ref="I25:O25" si="7">A$4</f>
        <v>-3</v>
      </c>
      <c r="J25" s="17">
        <f t="shared" si="7"/>
        <v>-2</v>
      </c>
      <c r="K25" s="17">
        <f t="shared" si="7"/>
        <v>-1</v>
      </c>
      <c r="L25" s="17">
        <f t="shared" si="7"/>
        <v>0</v>
      </c>
      <c r="M25" s="17">
        <f t="shared" si="7"/>
        <v>1</v>
      </c>
      <c r="N25" s="17">
        <f t="shared" si="7"/>
        <v>2</v>
      </c>
      <c r="O25" s="17">
        <f t="shared" si="7"/>
        <v>3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4"/>
      <c r="B26" s="25"/>
      <c r="C26" s="25"/>
      <c r="D26" s="17">
        <f t="shared" ref="D26:D28" si="8">$D5</f>
        <v>1</v>
      </c>
      <c r="E26" s="25"/>
      <c r="F26" s="25"/>
      <c r="G26" s="25"/>
      <c r="H26" s="14"/>
      <c r="I26" s="24"/>
      <c r="J26" s="25"/>
      <c r="K26" s="25"/>
      <c r="L26" s="26">
        <f t="shared" ref="L26:L28" si="9">D$4</f>
        <v>0</v>
      </c>
      <c r="M26" s="25"/>
      <c r="N26" s="25"/>
      <c r="O26" s="25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4"/>
      <c r="B27" s="25"/>
      <c r="C27" s="25"/>
      <c r="D27" s="17">
        <f t="shared" si="8"/>
        <v>2</v>
      </c>
      <c r="E27" s="25"/>
      <c r="F27" s="25"/>
      <c r="G27" s="25"/>
      <c r="H27" s="14"/>
      <c r="I27" s="24"/>
      <c r="J27" s="25"/>
      <c r="K27" s="25"/>
      <c r="L27" s="26">
        <f t="shared" si="9"/>
        <v>0</v>
      </c>
      <c r="M27" s="25"/>
      <c r="N27" s="25"/>
      <c r="O27" s="25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4"/>
      <c r="B28" s="25"/>
      <c r="C28" s="25"/>
      <c r="D28" s="17">
        <f t="shared" si="8"/>
        <v>3</v>
      </c>
      <c r="E28" s="25"/>
      <c r="F28" s="25"/>
      <c r="G28" s="25"/>
      <c r="H28" s="14"/>
      <c r="I28" s="24"/>
      <c r="J28" s="25"/>
      <c r="K28" s="25"/>
      <c r="L28" s="26">
        <f t="shared" si="9"/>
        <v>0</v>
      </c>
      <c r="M28" s="25"/>
      <c r="N28" s="25"/>
      <c r="O28" s="25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2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5" t="s">
        <v>33</v>
      </c>
      <c r="B30" s="14"/>
      <c r="C30" s="14"/>
      <c r="D30" s="15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2"/>
      <c r="B31" s="23"/>
      <c r="C31" s="14"/>
      <c r="D31" s="15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4"/>
      <c r="B32" s="25"/>
      <c r="C32" s="25"/>
      <c r="D32" s="26">
        <f t="shared" ref="D32:D34" si="10">$D$4</f>
        <v>0</v>
      </c>
      <c r="E32" s="25"/>
      <c r="F32" s="25"/>
      <c r="G32" s="25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4"/>
      <c r="B33" s="25"/>
      <c r="C33" s="25"/>
      <c r="D33" s="26">
        <f t="shared" si="10"/>
        <v>0</v>
      </c>
      <c r="E33" s="25"/>
      <c r="F33" s="25"/>
      <c r="G33" s="25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4"/>
      <c r="B34" s="25"/>
      <c r="C34" s="25"/>
      <c r="D34" s="26">
        <f t="shared" si="10"/>
        <v>0</v>
      </c>
      <c r="E34" s="25"/>
      <c r="F34" s="25"/>
      <c r="G34" s="25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6">
        <f t="shared" ref="A35:G35" si="11">$D$4</f>
        <v>0</v>
      </c>
      <c r="B35" s="26">
        <f t="shared" si="11"/>
        <v>0</v>
      </c>
      <c r="C35" s="26">
        <f t="shared" si="11"/>
        <v>0</v>
      </c>
      <c r="D35" s="17">
        <f t="shared" si="11"/>
        <v>0</v>
      </c>
      <c r="E35" s="26">
        <f t="shared" si="11"/>
        <v>0</v>
      </c>
      <c r="F35" s="26">
        <f t="shared" si="11"/>
        <v>0</v>
      </c>
      <c r="G35" s="26">
        <f t="shared" si="11"/>
        <v>0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4"/>
      <c r="B36" s="25"/>
      <c r="C36" s="25"/>
      <c r="D36" s="26">
        <f t="shared" ref="D36:D38" si="12">$D$4</f>
        <v>0</v>
      </c>
      <c r="E36" s="25"/>
      <c r="F36" s="25"/>
      <c r="G36" s="25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4"/>
      <c r="B37" s="25"/>
      <c r="C37" s="25"/>
      <c r="D37" s="26">
        <f t="shared" si="12"/>
        <v>0</v>
      </c>
      <c r="E37" s="25"/>
      <c r="F37" s="25"/>
      <c r="G37" s="25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4"/>
      <c r="B38" s="25"/>
      <c r="C38" s="25"/>
      <c r="D38" s="26">
        <f t="shared" si="12"/>
        <v>0</v>
      </c>
      <c r="E38" s="25"/>
      <c r="F38" s="25"/>
      <c r="G38" s="25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25"/>
  </cols>
  <sheetData>
    <row r="1">
      <c r="A1" s="5" t="s">
        <v>34</v>
      </c>
    </row>
    <row r="28">
      <c r="A28" s="2" t="s">
        <v>35</v>
      </c>
    </row>
    <row r="29">
      <c r="A29" s="2" t="s">
        <v>36</v>
      </c>
      <c r="B29" s="27">
        <v>4.0</v>
      </c>
    </row>
    <row r="30">
      <c r="A30" s="2" t="s">
        <v>37</v>
      </c>
      <c r="B30" s="27">
        <v>5.0</v>
      </c>
    </row>
    <row r="31">
      <c r="A31" s="2" t="s">
        <v>38</v>
      </c>
      <c r="B31" s="27">
        <v>8.0</v>
      </c>
    </row>
    <row r="33">
      <c r="A33" s="2" t="s">
        <v>39</v>
      </c>
    </row>
    <row r="34">
      <c r="A34" s="2" t="s">
        <v>40</v>
      </c>
      <c r="B34" s="28">
        <v>46023.0</v>
      </c>
    </row>
    <row r="35">
      <c r="A35" s="2" t="s">
        <v>41</v>
      </c>
      <c r="B35" s="28">
        <v>49675.0</v>
      </c>
    </row>
    <row r="37">
      <c r="A37" s="2" t="s">
        <v>42</v>
      </c>
      <c r="B37" s="29" t="s">
        <v>22</v>
      </c>
      <c r="C37" s="5"/>
    </row>
    <row r="38">
      <c r="A38" s="2" t="s">
        <v>43</v>
      </c>
      <c r="B38" s="30" t="s">
        <v>44</v>
      </c>
    </row>
    <row r="39">
      <c r="A39" s="2" t="s">
        <v>45</v>
      </c>
      <c r="B39" s="30" t="s">
        <v>46</v>
      </c>
    </row>
    <row r="40">
      <c r="B40" s="31"/>
    </row>
    <row r="41">
      <c r="B41" s="30" t="s">
        <v>47</v>
      </c>
    </row>
    <row r="42">
      <c r="B42" s="30" t="s">
        <v>48</v>
      </c>
    </row>
  </sheetData>
  <conditionalFormatting sqref="B29:B31">
    <cfRule type="cellIs" dxfId="0" priority="1" operator="lessThanOrEqual">
      <formula>4</formula>
    </cfRule>
  </conditionalFormatting>
  <conditionalFormatting sqref="B29:B31">
    <cfRule type="cellIs" dxfId="1" priority="2" operator="between">
      <formula>5</formula>
      <formula>6</formula>
    </cfRule>
  </conditionalFormatting>
  <conditionalFormatting sqref="B29:B31">
    <cfRule type="cellIs" dxfId="2" priority="3" operator="greaterThan">
      <formula>6</formula>
    </cfRule>
  </conditionalFormatting>
  <conditionalFormatting sqref="B34:B35">
    <cfRule type="expression" dxfId="0" priority="4">
      <formula>AND(ISNUMBER(B34),TRUNC(B34)&lt;TODAY())</formula>
    </cfRule>
  </conditionalFormatting>
  <conditionalFormatting sqref="B34:B35">
    <cfRule type="expression" dxfId="3" priority="5">
      <formula>AND(ISNUMBER(B34),TRUNC(B34)&gt;TODAY())</formula>
    </cfRule>
  </conditionalFormatting>
  <conditionalFormatting sqref="B38:B42">
    <cfRule type="containsText" dxfId="2" priority="6" operator="containsText" text="lu">
      <formula>NOT(ISERROR(SEARCH(("lu"),(B38))))</formula>
    </cfRule>
  </conditionalFormatting>
  <conditionalFormatting sqref="B38:B42">
    <cfRule type="containsBlanks" dxfId="0" priority="7">
      <formula>LEN(TRIM(B38))=0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75"/>
    <col customWidth="1" min="2" max="3" width="4.38"/>
  </cols>
  <sheetData>
    <row r="1">
      <c r="A1" s="5" t="s">
        <v>49</v>
      </c>
      <c r="B1" s="32" t="s">
        <v>50</v>
      </c>
      <c r="C1" s="33" t="s">
        <v>51</v>
      </c>
    </row>
    <row r="2">
      <c r="B2" s="34">
        <v>1.0</v>
      </c>
      <c r="C2" s="9">
        <f t="shared" ref="C2:C11" si="1">B2*B2</f>
        <v>1</v>
      </c>
    </row>
    <row r="3">
      <c r="B3" s="34">
        <v>2.0</v>
      </c>
      <c r="C3" s="9">
        <f t="shared" si="1"/>
        <v>4</v>
      </c>
    </row>
    <row r="4">
      <c r="B4" s="34">
        <v>3.0</v>
      </c>
      <c r="C4" s="9">
        <f t="shared" si="1"/>
        <v>9</v>
      </c>
    </row>
    <row r="5">
      <c r="B5" s="34">
        <v>4.0</v>
      </c>
      <c r="C5" s="9">
        <f t="shared" si="1"/>
        <v>16</v>
      </c>
    </row>
    <row r="6">
      <c r="B6" s="34">
        <v>5.0</v>
      </c>
      <c r="C6" s="9">
        <f t="shared" si="1"/>
        <v>25</v>
      </c>
    </row>
    <row r="7">
      <c r="B7" s="34">
        <v>6.0</v>
      </c>
      <c r="C7" s="9">
        <f t="shared" si="1"/>
        <v>36</v>
      </c>
    </row>
    <row r="8">
      <c r="B8" s="34">
        <v>7.0</v>
      </c>
      <c r="C8" s="9">
        <f t="shared" si="1"/>
        <v>49</v>
      </c>
    </row>
    <row r="9">
      <c r="B9" s="34">
        <v>8.0</v>
      </c>
      <c r="C9" s="9">
        <f t="shared" si="1"/>
        <v>64</v>
      </c>
    </row>
    <row r="10">
      <c r="B10" s="34">
        <v>9.0</v>
      </c>
      <c r="C10" s="9">
        <f t="shared" si="1"/>
        <v>81</v>
      </c>
    </row>
    <row r="11">
      <c r="B11" s="34">
        <v>10.0</v>
      </c>
      <c r="C11" s="9">
        <f t="shared" si="1"/>
        <v>100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5.5"/>
    <col customWidth="1" min="3" max="3" width="1.88"/>
  </cols>
  <sheetData>
    <row r="1">
      <c r="A1" s="5" t="s">
        <v>52</v>
      </c>
      <c r="B1" s="1" t="s">
        <v>53</v>
      </c>
    </row>
    <row r="2">
      <c r="A2" s="2" t="s">
        <v>54</v>
      </c>
      <c r="B2" s="2">
        <v>40.0</v>
      </c>
      <c r="C2" s="2" t="s">
        <v>55</v>
      </c>
    </row>
    <row r="3">
      <c r="A3" s="2" t="s">
        <v>56</v>
      </c>
      <c r="B3" s="6">
        <f>B2*300%</f>
        <v>120</v>
      </c>
      <c r="C3" s="2" t="s">
        <v>55</v>
      </c>
    </row>
    <row r="4">
      <c r="A4" s="2" t="s">
        <v>57</v>
      </c>
      <c r="B4" s="6">
        <f>B3*35%</f>
        <v>42</v>
      </c>
      <c r="C4" s="2" t="s">
        <v>55</v>
      </c>
    </row>
    <row r="5">
      <c r="A5" s="2" t="s">
        <v>58</v>
      </c>
      <c r="B5" s="6">
        <f>B3 - B4</f>
        <v>78</v>
      </c>
      <c r="C5" s="2" t="s">
        <v>55</v>
      </c>
    </row>
    <row r="6">
      <c r="A6" s="2" t="s">
        <v>59</v>
      </c>
      <c r="B6" s="6">
        <f>B5/3</f>
        <v>26</v>
      </c>
      <c r="C6" s="2" t="s">
        <v>55</v>
      </c>
    </row>
    <row r="7">
      <c r="A7" s="2" t="s">
        <v>60</v>
      </c>
      <c r="B7" s="6">
        <f>B6*(1+5%)*3</f>
        <v>81.9</v>
      </c>
      <c r="C7" s="2" t="s">
        <v>55</v>
      </c>
    </row>
  </sheetData>
  <mergeCells count="1">
    <mergeCell ref="B1:C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63"/>
    <col customWidth="1" min="2" max="2" width="4.75"/>
    <col customWidth="1" min="3" max="3" width="7.25"/>
    <col customWidth="1" min="4" max="4" width="3.38"/>
    <col customWidth="1" min="5" max="5" width="5.75"/>
  </cols>
  <sheetData>
    <row r="1">
      <c r="A1" s="5" t="s">
        <v>61</v>
      </c>
    </row>
    <row r="2">
      <c r="A2" s="2" t="s">
        <v>62</v>
      </c>
      <c r="B2" s="35" t="s">
        <v>63</v>
      </c>
      <c r="C2" s="35" t="s">
        <v>64</v>
      </c>
      <c r="D2" s="35" t="s">
        <v>65</v>
      </c>
    </row>
    <row r="3">
      <c r="B3" s="27">
        <v>1.0</v>
      </c>
      <c r="C3" s="27" t="s">
        <v>46</v>
      </c>
      <c r="D3" s="27">
        <v>30.0</v>
      </c>
      <c r="E3" s="35" t="s">
        <v>66</v>
      </c>
    </row>
    <row r="4">
      <c r="B4" s="36"/>
      <c r="C4" s="27" t="s">
        <v>67</v>
      </c>
      <c r="D4" s="27">
        <v>14.0</v>
      </c>
      <c r="E4" s="27" t="s">
        <v>68</v>
      </c>
    </row>
    <row r="5">
      <c r="B5" s="27">
        <v>2.0</v>
      </c>
      <c r="C5" s="27" t="s">
        <v>69</v>
      </c>
      <c r="D5" s="27">
        <v>50.0</v>
      </c>
      <c r="E5" s="27" t="s">
        <v>68</v>
      </c>
    </row>
    <row r="6">
      <c r="B6" s="36"/>
      <c r="C6" s="27" t="s">
        <v>44</v>
      </c>
      <c r="D6" s="27">
        <v>25.0</v>
      </c>
      <c r="E6" s="27" t="s">
        <v>68</v>
      </c>
    </row>
    <row r="7">
      <c r="B7" s="27">
        <v>3.0</v>
      </c>
      <c r="C7" s="27" t="s">
        <v>70</v>
      </c>
      <c r="D7" s="27">
        <v>55.0</v>
      </c>
      <c r="E7" s="27" t="s">
        <v>71</v>
      </c>
    </row>
    <row r="8">
      <c r="B8" s="27">
        <v>4.0</v>
      </c>
      <c r="C8" s="27" t="s">
        <v>72</v>
      </c>
      <c r="D8" s="27">
        <v>60.0</v>
      </c>
      <c r="E8" s="27" t="s">
        <v>71</v>
      </c>
    </row>
    <row r="9">
      <c r="E9" s="27" t="s">
        <v>71</v>
      </c>
    </row>
    <row r="10">
      <c r="A10" s="2" t="s">
        <v>73</v>
      </c>
      <c r="B10" s="6">
        <f>COUNTBLANK(B3:B8)</f>
        <v>2</v>
      </c>
    </row>
    <row r="11">
      <c r="A11" s="2" t="s">
        <v>74</v>
      </c>
      <c r="B11" s="6">
        <f>COUNTA(B3:B8)</f>
        <v>4</v>
      </c>
    </row>
    <row r="12">
      <c r="A12" s="37" t="s">
        <v>75</v>
      </c>
      <c r="B12" s="6">
        <f>COUNTIF(B3:B8,"&gt;1")</f>
        <v>3</v>
      </c>
    </row>
    <row r="13">
      <c r="A13" s="37" t="s">
        <v>76</v>
      </c>
      <c r="B13" s="6">
        <f>SUMIF(B4:B9,"&gt;1")</f>
        <v>9</v>
      </c>
    </row>
    <row r="14">
      <c r="A14" s="38" t="s">
        <v>77</v>
      </c>
      <c r="B14" s="6">
        <f>AVERAGEIF(B5:B10,"&gt;2")</f>
        <v>3.5</v>
      </c>
    </row>
    <row r="15">
      <c r="A15" s="2" t="s">
        <v>78</v>
      </c>
      <c r="B15" s="2">
        <f>VLOOKUP("anna", C3:D8, 2, FALSE)</f>
        <v>25</v>
      </c>
    </row>
    <row r="16">
      <c r="A16" s="2" t="s">
        <v>79</v>
      </c>
      <c r="B16" s="6" t="str">
        <f t="array" ref="B16">XLOOKUP("giovanni",C3:C8,E4:E9)</f>
        <v>M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13"/>
    <col customWidth="1" min="2" max="2" width="14.75"/>
    <col customWidth="1" min="3" max="3" width="6.38"/>
    <col customWidth="1" min="4" max="4" width="6.63"/>
    <col customWidth="1" min="5" max="5" width="10.25"/>
  </cols>
  <sheetData>
    <row r="1">
      <c r="A1" s="5" t="s">
        <v>80</v>
      </c>
      <c r="B1" s="1" t="s">
        <v>81</v>
      </c>
    </row>
    <row r="2">
      <c r="A2" s="2" t="s">
        <v>82</v>
      </c>
      <c r="B2" s="36"/>
    </row>
    <row r="3">
      <c r="A3" s="2" t="s">
        <v>83</v>
      </c>
      <c r="B3" s="39"/>
    </row>
    <row r="4">
      <c r="A4" s="2" t="s">
        <v>84</v>
      </c>
      <c r="B4" s="36"/>
    </row>
    <row r="5">
      <c r="A5" s="2" t="s">
        <v>85</v>
      </c>
      <c r="B5" s="28"/>
    </row>
    <row r="7">
      <c r="A7" s="5" t="s">
        <v>7</v>
      </c>
    </row>
    <row r="8">
      <c r="A8" s="2" t="s">
        <v>86</v>
      </c>
      <c r="B8" s="27" t="s">
        <v>9</v>
      </c>
    </row>
    <row r="9">
      <c r="A9" s="2" t="s">
        <v>87</v>
      </c>
      <c r="B9" s="27" t="s">
        <v>88</v>
      </c>
    </row>
    <row r="10">
      <c r="A10" s="2" t="s">
        <v>89</v>
      </c>
      <c r="B10" s="27" t="s">
        <v>90</v>
      </c>
    </row>
    <row r="11">
      <c r="A11" s="2" t="s">
        <v>91</v>
      </c>
      <c r="B11" s="27" t="s">
        <v>92</v>
      </c>
    </row>
    <row r="12">
      <c r="A12" s="2" t="s">
        <v>93</v>
      </c>
      <c r="B12" s="36"/>
    </row>
    <row r="13">
      <c r="A13" s="2" t="s">
        <v>94</v>
      </c>
      <c r="B13" s="36"/>
    </row>
    <row r="14">
      <c r="E14" s="4"/>
    </row>
    <row r="15">
      <c r="A15" s="5" t="s">
        <v>27</v>
      </c>
      <c r="E15" s="4"/>
    </row>
    <row r="16">
      <c r="A16" s="2" t="s">
        <v>95</v>
      </c>
      <c r="B16" s="36"/>
      <c r="C16" s="36"/>
      <c r="D16" s="36"/>
      <c r="E16" s="28"/>
      <c r="F16" s="36"/>
      <c r="G16" s="36"/>
      <c r="H16" s="36"/>
      <c r="I16" s="36"/>
      <c r="J16" s="36"/>
    </row>
    <row r="17">
      <c r="A17" s="2" t="s">
        <v>96</v>
      </c>
      <c r="B17" s="36"/>
      <c r="C17" s="36"/>
      <c r="D17" s="36"/>
      <c r="E17" s="28"/>
      <c r="F17" s="36"/>
      <c r="G17" s="36"/>
      <c r="H17" s="36"/>
      <c r="I17" s="36"/>
      <c r="J17" s="36"/>
    </row>
    <row r="18">
      <c r="A18" s="2" t="s">
        <v>97</v>
      </c>
      <c r="B18" s="36"/>
      <c r="C18" s="36"/>
      <c r="D18" s="36"/>
      <c r="E18" s="28"/>
      <c r="F18" s="36"/>
      <c r="G18" s="36"/>
      <c r="H18" s="36"/>
      <c r="I18" s="36"/>
      <c r="J18" s="36"/>
    </row>
    <row r="20">
      <c r="A20" s="5" t="s">
        <v>21</v>
      </c>
    </row>
    <row r="21">
      <c r="A21" s="40" t="s">
        <v>98</v>
      </c>
      <c r="B21" s="41" t="s">
        <v>22</v>
      </c>
    </row>
    <row r="22">
      <c r="B22" s="42">
        <v>1.0</v>
      </c>
    </row>
    <row r="23">
      <c r="B23" s="42">
        <v>2.0</v>
      </c>
    </row>
    <row r="24">
      <c r="B24" s="42">
        <v>4.0</v>
      </c>
    </row>
    <row r="25">
      <c r="B25" s="42">
        <v>8.0</v>
      </c>
    </row>
    <row r="26">
      <c r="B26" s="42">
        <v>16.0</v>
      </c>
    </row>
    <row r="28">
      <c r="A28" s="2" t="s">
        <v>99</v>
      </c>
      <c r="B28" s="36"/>
    </row>
    <row r="29">
      <c r="A29" s="2" t="s">
        <v>100</v>
      </c>
      <c r="B29" s="36"/>
    </row>
    <row r="30">
      <c r="A30" s="2" t="s">
        <v>101</v>
      </c>
      <c r="B30" s="36"/>
    </row>
    <row r="31">
      <c r="A31" s="2" t="s">
        <v>102</v>
      </c>
      <c r="B31" s="36"/>
    </row>
    <row r="33">
      <c r="A33" s="5" t="s">
        <v>34</v>
      </c>
    </row>
    <row r="34">
      <c r="A34" s="2" t="s">
        <v>103</v>
      </c>
      <c r="B34" s="36"/>
    </row>
    <row r="35">
      <c r="A35" s="2" t="s">
        <v>104</v>
      </c>
      <c r="B35" s="36"/>
    </row>
    <row r="36">
      <c r="A36" s="2" t="s">
        <v>105</v>
      </c>
      <c r="B36" s="36"/>
    </row>
    <row r="37">
      <c r="A37" s="2" t="s">
        <v>106</v>
      </c>
      <c r="B37" s="36"/>
    </row>
    <row r="39">
      <c r="A39" s="5" t="s">
        <v>49</v>
      </c>
      <c r="B39" s="43" t="s">
        <v>107</v>
      </c>
      <c r="C39" s="43" t="s">
        <v>108</v>
      </c>
    </row>
    <row r="40">
      <c r="A40" s="2" t="s">
        <v>109</v>
      </c>
      <c r="B40" s="36"/>
      <c r="C40" s="36"/>
    </row>
    <row r="41">
      <c r="B41" s="36"/>
      <c r="C41" s="36"/>
    </row>
    <row r="42">
      <c r="B42" s="36"/>
      <c r="C42" s="36"/>
    </row>
    <row r="43">
      <c r="B43" s="36"/>
      <c r="C43" s="36"/>
    </row>
    <row r="44">
      <c r="B44" s="36"/>
      <c r="C44" s="36"/>
    </row>
    <row r="45">
      <c r="B45" s="36"/>
      <c r="C45" s="36"/>
    </row>
    <row r="46">
      <c r="B46" s="36"/>
      <c r="C46" s="36"/>
    </row>
    <row r="47">
      <c r="B47" s="36"/>
      <c r="C47" s="36"/>
    </row>
    <row r="48">
      <c r="B48" s="36"/>
      <c r="C48" s="36"/>
    </row>
    <row r="49">
      <c r="B49" s="36"/>
      <c r="C49" s="36"/>
    </row>
    <row r="51">
      <c r="A51" s="2" t="s">
        <v>110</v>
      </c>
      <c r="B51" s="5" t="s">
        <v>64</v>
      </c>
      <c r="C51" s="5" t="s">
        <v>111</v>
      </c>
    </row>
    <row r="52">
      <c r="B52" s="2" t="s">
        <v>44</v>
      </c>
      <c r="C52" s="2">
        <v>100000.0</v>
      </c>
      <c r="D52" s="2" t="s">
        <v>112</v>
      </c>
    </row>
    <row r="53">
      <c r="B53" s="2" t="s">
        <v>67</v>
      </c>
      <c r="C53" s="2">
        <v>20000.0</v>
      </c>
      <c r="D53" s="2" t="s">
        <v>112</v>
      </c>
    </row>
    <row r="54">
      <c r="B54" s="2" t="s">
        <v>46</v>
      </c>
      <c r="C54" s="2">
        <v>150000.0</v>
      </c>
      <c r="D54" s="2" t="s">
        <v>112</v>
      </c>
    </row>
    <row r="55">
      <c r="B55" s="2" t="s">
        <v>48</v>
      </c>
      <c r="C55" s="2">
        <v>85000.0</v>
      </c>
      <c r="D55" s="2" t="s">
        <v>112</v>
      </c>
    </row>
    <row r="57">
      <c r="A57" s="5" t="s">
        <v>113</v>
      </c>
    </row>
    <row r="58">
      <c r="A58" s="2" t="s">
        <v>62</v>
      </c>
      <c r="B58" s="35" t="s">
        <v>63</v>
      </c>
      <c r="C58" s="35" t="s">
        <v>64</v>
      </c>
      <c r="D58" s="35" t="s">
        <v>65</v>
      </c>
    </row>
    <row r="59">
      <c r="B59" s="27">
        <v>1.0</v>
      </c>
      <c r="C59" s="27" t="s">
        <v>46</v>
      </c>
      <c r="D59" s="27">
        <v>30.0</v>
      </c>
      <c r="E59" s="35" t="s">
        <v>66</v>
      </c>
    </row>
    <row r="60">
      <c r="B60" s="36"/>
      <c r="C60" s="27" t="s">
        <v>67</v>
      </c>
      <c r="D60" s="27">
        <v>14.0</v>
      </c>
      <c r="E60" s="27" t="s">
        <v>68</v>
      </c>
    </row>
    <row r="61">
      <c r="B61" s="27">
        <v>2.0</v>
      </c>
      <c r="C61" s="27" t="s">
        <v>69</v>
      </c>
      <c r="D61" s="27">
        <v>50.0</v>
      </c>
      <c r="E61" s="27" t="s">
        <v>68</v>
      </c>
    </row>
    <row r="62">
      <c r="B62" s="36"/>
      <c r="C62" s="27" t="s">
        <v>44</v>
      </c>
      <c r="D62" s="27">
        <v>25.0</v>
      </c>
      <c r="E62" s="27" t="s">
        <v>68</v>
      </c>
    </row>
    <row r="63">
      <c r="B63" s="27">
        <v>3.0</v>
      </c>
      <c r="C63" s="27" t="s">
        <v>70</v>
      </c>
      <c r="D63" s="27">
        <v>55.0</v>
      </c>
      <c r="E63" s="27" t="s">
        <v>71</v>
      </c>
    </row>
    <row r="64">
      <c r="B64" s="27">
        <v>4.0</v>
      </c>
      <c r="C64" s="27" t="s">
        <v>72</v>
      </c>
      <c r="D64" s="27">
        <v>60.0</v>
      </c>
      <c r="E64" s="27" t="s">
        <v>71</v>
      </c>
    </row>
    <row r="65">
      <c r="E65" s="27" t="s">
        <v>71</v>
      </c>
    </row>
    <row r="66">
      <c r="A66" s="2" t="s">
        <v>114</v>
      </c>
    </row>
    <row r="67">
      <c r="A67" s="2" t="s">
        <v>115</v>
      </c>
    </row>
    <row r="68">
      <c r="A68" s="37" t="s">
        <v>116</v>
      </c>
    </row>
    <row r="69">
      <c r="A69" s="37" t="s">
        <v>117</v>
      </c>
    </row>
    <row r="70">
      <c r="A70" s="38" t="s">
        <v>118</v>
      </c>
    </row>
    <row r="71">
      <c r="A71" s="2" t="s">
        <v>119</v>
      </c>
    </row>
    <row r="72">
      <c r="A72" s="2" t="s">
        <v>120</v>
      </c>
    </row>
    <row r="126">
      <c r="A126" s="5" t="s">
        <v>121</v>
      </c>
    </row>
    <row r="127">
      <c r="B127" s="2">
        <v>1.0</v>
      </c>
    </row>
    <row r="128">
      <c r="B128" s="2">
        <v>2.0</v>
      </c>
    </row>
    <row r="129">
      <c r="B129" s="2">
        <v>3.0</v>
      </c>
    </row>
    <row r="148">
      <c r="A148" s="5" t="s">
        <v>122</v>
      </c>
      <c r="B148" s="5" t="s">
        <v>50</v>
      </c>
      <c r="C148" s="5" t="s">
        <v>51</v>
      </c>
    </row>
    <row r="149">
      <c r="B149" s="2">
        <v>1.0</v>
      </c>
      <c r="C149" s="6">
        <f t="shared" ref="C149:C158" si="1">B149*B149</f>
        <v>1</v>
      </c>
    </row>
    <row r="150">
      <c r="B150" s="2">
        <v>2.0</v>
      </c>
      <c r="C150" s="6">
        <f t="shared" si="1"/>
        <v>4</v>
      </c>
    </row>
    <row r="151">
      <c r="B151" s="2">
        <v>3.0</v>
      </c>
      <c r="C151" s="6">
        <f t="shared" si="1"/>
        <v>9</v>
      </c>
    </row>
    <row r="152">
      <c r="B152" s="2">
        <v>4.0</v>
      </c>
      <c r="C152" s="6">
        <f t="shared" si="1"/>
        <v>16</v>
      </c>
    </row>
    <row r="153">
      <c r="B153" s="2">
        <v>5.0</v>
      </c>
      <c r="C153" s="6">
        <f t="shared" si="1"/>
        <v>25</v>
      </c>
    </row>
    <row r="154">
      <c r="B154" s="2">
        <v>6.0</v>
      </c>
      <c r="C154" s="6">
        <f t="shared" si="1"/>
        <v>36</v>
      </c>
    </row>
    <row r="155">
      <c r="B155" s="2">
        <v>7.0</v>
      </c>
      <c r="C155" s="6">
        <f t="shared" si="1"/>
        <v>49</v>
      </c>
    </row>
    <row r="156">
      <c r="B156" s="2">
        <v>8.0</v>
      </c>
      <c r="C156" s="6">
        <f t="shared" si="1"/>
        <v>64</v>
      </c>
    </row>
    <row r="157">
      <c r="B157" s="2">
        <v>9.0</v>
      </c>
      <c r="C157" s="6">
        <f t="shared" si="1"/>
        <v>81</v>
      </c>
    </row>
    <row r="158">
      <c r="B158" s="2">
        <v>10.0</v>
      </c>
      <c r="C158" s="6">
        <f t="shared" si="1"/>
        <v>100</v>
      </c>
    </row>
    <row r="185">
      <c r="A185" s="5" t="s">
        <v>123</v>
      </c>
    </row>
    <row r="186">
      <c r="A186" s="2" t="s">
        <v>54</v>
      </c>
      <c r="B186" s="2">
        <v>40.0</v>
      </c>
      <c r="C186" s="2" t="s">
        <v>55</v>
      </c>
    </row>
    <row r="187">
      <c r="A187" s="2" t="s">
        <v>56</v>
      </c>
      <c r="B187" s="6">
        <f>B186*300%</f>
        <v>120</v>
      </c>
      <c r="C187" s="2" t="s">
        <v>55</v>
      </c>
    </row>
    <row r="188">
      <c r="A188" s="2" t="s">
        <v>57</v>
      </c>
      <c r="B188" s="6">
        <f>B187*35%</f>
        <v>42</v>
      </c>
      <c r="C188" s="2" t="s">
        <v>55</v>
      </c>
    </row>
    <row r="189">
      <c r="A189" s="2" t="s">
        <v>58</v>
      </c>
      <c r="B189" s="6">
        <f>B187 - B188</f>
        <v>78</v>
      </c>
      <c r="C189" s="2" t="s">
        <v>55</v>
      </c>
    </row>
    <row r="190">
      <c r="A190" s="2" t="s">
        <v>59</v>
      </c>
      <c r="B190" s="6">
        <f>B189/3</f>
        <v>26</v>
      </c>
      <c r="C190" s="2" t="s">
        <v>55</v>
      </c>
    </row>
    <row r="191">
      <c r="A191" s="2" t="s">
        <v>60</v>
      </c>
      <c r="B191" s="6">
        <f>B190*(1+5%)*3</f>
        <v>81.9</v>
      </c>
      <c r="C191" s="2" t="s">
        <v>55</v>
      </c>
    </row>
    <row r="193">
      <c r="A193" s="5" t="s">
        <v>61</v>
      </c>
    </row>
    <row r="194">
      <c r="A194" s="2" t="s">
        <v>62</v>
      </c>
      <c r="B194" s="5" t="s">
        <v>63</v>
      </c>
      <c r="C194" s="5" t="s">
        <v>64</v>
      </c>
      <c r="D194" s="5" t="s">
        <v>65</v>
      </c>
      <c r="E194" s="5" t="s">
        <v>66</v>
      </c>
    </row>
    <row r="195">
      <c r="B195" s="2">
        <v>1.0</v>
      </c>
      <c r="C195" s="2" t="s">
        <v>46</v>
      </c>
      <c r="D195" s="2">
        <v>30.0</v>
      </c>
      <c r="E195" s="2" t="s">
        <v>68</v>
      </c>
    </row>
    <row r="196">
      <c r="C196" s="2" t="s">
        <v>67</v>
      </c>
      <c r="D196" s="2">
        <v>14.0</v>
      </c>
      <c r="E196" s="2" t="s">
        <v>68</v>
      </c>
    </row>
    <row r="197">
      <c r="B197" s="2">
        <v>2.0</v>
      </c>
      <c r="C197" s="2" t="s">
        <v>69</v>
      </c>
      <c r="D197" s="2">
        <v>50.0</v>
      </c>
      <c r="E197" s="2" t="s">
        <v>68</v>
      </c>
    </row>
    <row r="198">
      <c r="C198" s="2" t="s">
        <v>44</v>
      </c>
      <c r="D198" s="2">
        <v>25.0</v>
      </c>
      <c r="E198" s="2" t="s">
        <v>71</v>
      </c>
    </row>
    <row r="199">
      <c r="B199" s="2">
        <v>3.0</v>
      </c>
      <c r="C199" s="2" t="s">
        <v>70</v>
      </c>
      <c r="D199" s="2">
        <v>55.0</v>
      </c>
      <c r="E199" s="2" t="s">
        <v>71</v>
      </c>
    </row>
    <row r="200">
      <c r="B200" s="2">
        <v>4.0</v>
      </c>
      <c r="C200" s="2" t="s">
        <v>72</v>
      </c>
      <c r="D200" s="2">
        <v>60.0</v>
      </c>
      <c r="E200" s="2" t="s">
        <v>71</v>
      </c>
    </row>
    <row r="202">
      <c r="A202" s="2" t="s">
        <v>124</v>
      </c>
      <c r="B202" s="6">
        <f>COUNTBLANK(B195:B200)</f>
        <v>2</v>
      </c>
    </row>
    <row r="203">
      <c r="A203" s="2" t="s">
        <v>125</v>
      </c>
      <c r="B203" s="6">
        <f>COUNTA(B195:B200)</f>
        <v>4</v>
      </c>
    </row>
    <row r="204">
      <c r="A204" s="38" t="s">
        <v>126</v>
      </c>
      <c r="B204" s="6">
        <f>COUNTIF(B195:B200,"&gt;1")</f>
        <v>3</v>
      </c>
    </row>
    <row r="205">
      <c r="A205" s="38" t="s">
        <v>127</v>
      </c>
      <c r="B205" s="6">
        <f>SUMIF(B196:B201,"&gt;1")</f>
        <v>9</v>
      </c>
    </row>
    <row r="206">
      <c r="A206" s="38" t="s">
        <v>128</v>
      </c>
      <c r="B206" s="6">
        <f>AVERAGEIF(B197:B202,"&gt;2")</f>
        <v>3.5</v>
      </c>
    </row>
    <row r="207">
      <c r="A207" s="2" t="s">
        <v>129</v>
      </c>
      <c r="B207" s="2">
        <f>VLOOKUP("anna", C195:D200, 2, FALSE)</f>
        <v>25</v>
      </c>
    </row>
    <row r="208">
      <c r="A208" s="2" t="s">
        <v>130</v>
      </c>
      <c r="B208" s="6" t="str">
        <f t="array" ref="B208">XLOOKUP("anna",C196:C201,E196:E201)</f>
        <v>F</v>
      </c>
    </row>
    <row r="210">
      <c r="A210" s="5"/>
    </row>
  </sheetData>
  <mergeCells count="1">
    <mergeCell ref="B1:J1"/>
  </mergeCells>
  <conditionalFormatting sqref="B127:B129">
    <cfRule type="cellIs" dxfId="2" priority="1" operator="greaterThan">
      <formula>2</formula>
    </cfRule>
  </conditionalFormatting>
  <conditionalFormatting sqref="B127:B129">
    <cfRule type="cellIs" dxfId="4" priority="2" operator="lessThanOrEqual">
      <formula>1</formula>
    </cfRule>
  </conditionalFormatting>
  <conditionalFormatting sqref="B127:B129">
    <cfRule type="cellIs" dxfId="1" priority="3" operator="equal">
      <formula>2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9.38"/>
    <col customWidth="1" min="3" max="3" width="9.25"/>
    <col customWidth="1" min="4" max="4" width="8.88"/>
    <col customWidth="1" min="5" max="5" width="7.88"/>
    <col customWidth="1" min="6" max="6" width="7.5"/>
  </cols>
  <sheetData>
    <row r="1">
      <c r="A1" s="5" t="s">
        <v>131</v>
      </c>
      <c r="C1" s="5" t="s">
        <v>132</v>
      </c>
      <c r="D1" s="44" t="s">
        <v>133</v>
      </c>
      <c r="E1" s="44" t="s">
        <v>64</v>
      </c>
      <c r="F1" s="44" t="s">
        <v>134</v>
      </c>
      <c r="G1" s="44" t="s">
        <v>135</v>
      </c>
      <c r="H1" s="44" t="s">
        <v>136</v>
      </c>
    </row>
    <row r="2">
      <c r="A2" s="2" t="s">
        <v>137</v>
      </c>
      <c r="C2" s="2">
        <v>1.0</v>
      </c>
      <c r="D2" s="45" t="s">
        <v>138</v>
      </c>
      <c r="E2" s="45" t="s">
        <v>139</v>
      </c>
      <c r="F2" s="46">
        <v>4.99</v>
      </c>
      <c r="G2" s="46">
        <v>22.0</v>
      </c>
      <c r="H2" s="45" t="s">
        <v>140</v>
      </c>
    </row>
    <row r="3">
      <c r="A3" s="2" t="s">
        <v>141</v>
      </c>
      <c r="C3" s="2">
        <v>2.0</v>
      </c>
      <c r="D3" s="45" t="s">
        <v>142</v>
      </c>
      <c r="E3" s="45" t="s">
        <v>139</v>
      </c>
      <c r="F3" s="46">
        <v>4.0</v>
      </c>
      <c r="G3" s="46">
        <v>22.0</v>
      </c>
      <c r="H3" s="45" t="s">
        <v>140</v>
      </c>
    </row>
    <row r="4">
      <c r="A4" s="2" t="s">
        <v>143</v>
      </c>
      <c r="C4" s="2">
        <v>3.0</v>
      </c>
      <c r="D4" s="45" t="s">
        <v>144</v>
      </c>
      <c r="E4" s="45" t="s">
        <v>145</v>
      </c>
      <c r="F4" s="46">
        <v>1.5</v>
      </c>
      <c r="G4" s="46">
        <v>4.0</v>
      </c>
      <c r="H4" s="45" t="s">
        <v>140</v>
      </c>
    </row>
    <row r="5">
      <c r="A5" s="2" t="s">
        <v>146</v>
      </c>
      <c r="C5" s="2">
        <v>4.0</v>
      </c>
      <c r="D5" s="45" t="s">
        <v>147</v>
      </c>
      <c r="E5" s="45" t="s">
        <v>148</v>
      </c>
      <c r="F5" s="46">
        <v>2.5</v>
      </c>
      <c r="G5" s="46">
        <v>10.0</v>
      </c>
      <c r="H5" s="45" t="s">
        <v>149</v>
      </c>
    </row>
    <row r="6">
      <c r="A6" s="2" t="s">
        <v>150</v>
      </c>
    </row>
    <row r="7">
      <c r="A7" s="2" t="s">
        <v>151</v>
      </c>
    </row>
  </sheetData>
  <autoFilter ref="$C$1:$H$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0"/>
    <col customWidth="1" min="2" max="2" width="18.38"/>
  </cols>
  <sheetData>
    <row r="1">
      <c r="A1" s="5" t="s">
        <v>152</v>
      </c>
      <c r="B1" s="5" t="s">
        <v>153</v>
      </c>
    </row>
    <row r="3">
      <c r="B3" s="2">
        <v>101.0</v>
      </c>
    </row>
    <row r="10">
      <c r="H10" s="45"/>
    </row>
    <row r="11">
      <c r="H11" s="45"/>
    </row>
    <row r="15">
      <c r="B15" s="45"/>
    </row>
    <row r="16">
      <c r="A16" s="2" t="s">
        <v>154</v>
      </c>
      <c r="B16" s="2">
        <v>105.0</v>
      </c>
    </row>
    <row r="17">
      <c r="A17" s="2" t="s">
        <v>155</v>
      </c>
      <c r="B17" s="2">
        <v>5.0</v>
      </c>
    </row>
    <row r="18">
      <c r="A18" s="2" t="s">
        <v>156</v>
      </c>
      <c r="B18" s="4">
        <v>49794.0</v>
      </c>
    </row>
    <row r="19">
      <c r="A19" s="2" t="s">
        <v>157</v>
      </c>
      <c r="B19" s="2" t="s">
        <v>158</v>
      </c>
    </row>
    <row r="21">
      <c r="A21" s="5" t="s">
        <v>159</v>
      </c>
    </row>
    <row r="22">
      <c r="B22" s="45"/>
    </row>
    <row r="23">
      <c r="A23" s="2" t="s">
        <v>160</v>
      </c>
      <c r="B23" s="2" t="s">
        <v>161</v>
      </c>
    </row>
    <row r="24">
      <c r="A24" s="2" t="s">
        <v>162</v>
      </c>
      <c r="B24" s="2" t="s">
        <v>148</v>
      </c>
    </row>
    <row r="26">
      <c r="A26" s="5" t="s">
        <v>163</v>
      </c>
    </row>
    <row r="27">
      <c r="B27" s="2" t="b">
        <v>0</v>
      </c>
    </row>
    <row r="28">
      <c r="B28" s="2" t="b">
        <v>0</v>
      </c>
      <c r="C28" s="2" t="b">
        <v>0</v>
      </c>
    </row>
    <row r="29">
      <c r="B29" s="2" t="b">
        <v>0</v>
      </c>
      <c r="C29" s="2" t="b">
        <v>1</v>
      </c>
    </row>
    <row r="30">
      <c r="B30" s="2" t="b">
        <v>0</v>
      </c>
      <c r="C30" s="2" t="b">
        <v>0</v>
      </c>
    </row>
    <row r="31">
      <c r="B31" s="2" t="b">
        <v>0</v>
      </c>
      <c r="C31" s="2" t="b">
        <v>1</v>
      </c>
    </row>
    <row r="32">
      <c r="B32" s="2" t="b">
        <v>0</v>
      </c>
      <c r="C32" s="2" t="b">
        <v>0</v>
      </c>
    </row>
  </sheetData>
  <dataValidations>
    <dataValidation type="decimal" operator="greaterThan" allowBlank="1" showDropDown="1" showErrorMessage="1" sqref="B16">
      <formula1>100.0</formula1>
    </dataValidation>
    <dataValidation type="list" allowBlank="1" showErrorMessage="1" sqref="B23">
      <formula1>"Lavoratore,Studente,Disoccupato,In pensione"</formula1>
    </dataValidation>
    <dataValidation type="decimal" allowBlank="1" showDropDown="1" showErrorMessage="1" sqref="B17">
      <formula1>1.0</formula1>
      <formula2>10.0</formula2>
    </dataValidation>
    <dataValidation type="custom" allowBlank="1" showDropDown="1" showErrorMessage="1" sqref="B19">
      <formula1>IFERROR(ISEMAIL(B19), true)</formula1>
    </dataValidation>
    <dataValidation type="list" allowBlank="1" showErrorMessage="1" sqref="B24">
      <formula1>tabella_articolo!$C$2:$C$5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8.38"/>
    <col customWidth="1" min="6" max="6" width="13.63"/>
    <col customWidth="1" min="9" max="9" width="12.75"/>
  </cols>
  <sheetData>
    <row r="1">
      <c r="A1" s="5" t="s">
        <v>164</v>
      </c>
      <c r="B1" s="5" t="s">
        <v>147</v>
      </c>
    </row>
    <row r="3">
      <c r="A3" s="44" t="s">
        <v>64</v>
      </c>
      <c r="B3" s="44" t="s">
        <v>134</v>
      </c>
      <c r="C3" s="44" t="s">
        <v>135</v>
      </c>
      <c r="D3" s="44" t="s">
        <v>136</v>
      </c>
      <c r="E3" s="44" t="s">
        <v>133</v>
      </c>
    </row>
    <row r="4">
      <c r="A4" s="6" t="str">
        <f t="array" ref="A4">XLOOKUP($B$1,tabella_articolo!$B$2:$B$5,tabella_articolo!C2:C5)</f>
        <v>biscotti</v>
      </c>
      <c r="B4" s="6">
        <f t="array" ref="B4">XLOOKUP($B$1,tabella_articolo!$B$2:$B$5,tabella_articolo!D2:D5)</f>
        <v>2.5</v>
      </c>
      <c r="C4" s="6">
        <f t="array" ref="C4">XLOOKUP($B$1,tabella_articolo!$B$2:$B$5,tabella_articolo!E2:E5)</f>
        <v>10</v>
      </c>
      <c r="D4" s="6" t="str">
        <f t="array" ref="D4">XLOOKUP($B$1,tabella_articolo!$B$2:$B$5,tabella_articolo!F2:F5)</f>
        <v>grammi</v>
      </c>
      <c r="E4" s="6" t="str">
        <f t="array" ref="E4">XLOOKUP($B$1,tabella_articolo!$B$2:$B$5,tabella_articolo!B2:B5)</f>
        <v>A4</v>
      </c>
    </row>
    <row r="7">
      <c r="A7" s="5" t="s">
        <v>165</v>
      </c>
      <c r="B7" s="5"/>
    </row>
    <row r="9">
      <c r="A9" s="44" t="s">
        <v>64</v>
      </c>
      <c r="B9" s="44" t="s">
        <v>166</v>
      </c>
      <c r="C9" s="44" t="s">
        <v>167</v>
      </c>
      <c r="D9" s="44" t="s">
        <v>168</v>
      </c>
      <c r="E9" s="44" t="s">
        <v>169</v>
      </c>
      <c r="F9" s="44" t="s">
        <v>170</v>
      </c>
      <c r="G9" s="47" t="s">
        <v>171</v>
      </c>
      <c r="H9" s="47" t="s">
        <v>172</v>
      </c>
      <c r="I9" s="47" t="s">
        <v>173</v>
      </c>
    </row>
    <row r="10">
      <c r="H10" s="45"/>
    </row>
    <row r="11">
      <c r="H11" s="45"/>
    </row>
    <row r="13">
      <c r="A13" s="5" t="s">
        <v>174</v>
      </c>
      <c r="B13" s="5"/>
    </row>
    <row r="15">
      <c r="A15" s="44" t="s">
        <v>64</v>
      </c>
      <c r="B15" s="44" t="s">
        <v>166</v>
      </c>
      <c r="C15" s="44" t="s">
        <v>167</v>
      </c>
      <c r="D15" s="44" t="s">
        <v>168</v>
      </c>
      <c r="E15" s="44" t="s">
        <v>169</v>
      </c>
      <c r="F15" s="44" t="s">
        <v>170</v>
      </c>
      <c r="G15" s="47" t="s">
        <v>171</v>
      </c>
      <c r="H15" s="47" t="s">
        <v>172</v>
      </c>
      <c r="I15" s="47" t="s">
        <v>173</v>
      </c>
    </row>
    <row r="16">
      <c r="B16" s="6"/>
    </row>
    <row r="17">
      <c r="B17" s="6"/>
    </row>
    <row r="18">
      <c r="B18" s="4"/>
    </row>
    <row r="19">
      <c r="B19" s="6"/>
    </row>
    <row r="21">
      <c r="A21" s="5"/>
    </row>
    <row r="22">
      <c r="B22" s="45"/>
    </row>
    <row r="26">
      <c r="A26" s="5"/>
    </row>
  </sheetData>
  <dataValidations>
    <dataValidation type="list" allowBlank="1" showErrorMessage="1" sqref="B1">
      <formula1>tabella_articolo!$B$2:$B$5</formula1>
    </dataValidation>
    <dataValidation type="decimal" allowBlank="1" showDropDown="1" showErrorMessage="1" sqref="B17">
      <formula1>1.0</formula1>
      <formula2>10.0</formula2>
    </dataValidation>
    <dataValidation type="custom" allowBlank="1" showDropDown="1" showErrorMessage="1" sqref="B19">
      <formula1>IFERROR(ISEMAIL(B19), true)</formula1>
    </dataValidation>
    <dataValidation type="decimal" operator="greaterThan" allowBlank="1" showDropDown="1" sqref="B16">
      <formula1>100.0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6.25"/>
    <col customWidth="1" min="3" max="3" width="6.13"/>
    <col customWidth="1" min="4" max="4" width="6.25"/>
    <col customWidth="1" min="5" max="5" width="3.38"/>
    <col customWidth="1" min="6" max="6" width="6.5"/>
  </cols>
  <sheetData>
    <row r="1">
      <c r="A1" s="5" t="s">
        <v>132</v>
      </c>
      <c r="B1" s="44" t="s">
        <v>133</v>
      </c>
      <c r="C1" s="44" t="s">
        <v>64</v>
      </c>
      <c r="D1" s="44" t="s">
        <v>134</v>
      </c>
      <c r="E1" s="44" t="s">
        <v>135</v>
      </c>
      <c r="F1" s="44" t="s">
        <v>136</v>
      </c>
    </row>
    <row r="2">
      <c r="A2" s="2">
        <v>1.0</v>
      </c>
      <c r="B2" s="45" t="s">
        <v>138</v>
      </c>
      <c r="C2" s="45" t="s">
        <v>139</v>
      </c>
      <c r="D2" s="46">
        <v>4.99</v>
      </c>
      <c r="E2" s="46">
        <v>22.0</v>
      </c>
      <c r="F2" s="45" t="s">
        <v>140</v>
      </c>
    </row>
    <row r="3">
      <c r="A3" s="2">
        <v>2.0</v>
      </c>
      <c r="B3" s="45" t="s">
        <v>142</v>
      </c>
      <c r="C3" s="45" t="s">
        <v>139</v>
      </c>
      <c r="D3" s="46">
        <v>4.0</v>
      </c>
      <c r="E3" s="46">
        <v>22.0</v>
      </c>
      <c r="F3" s="45" t="s">
        <v>140</v>
      </c>
    </row>
    <row r="4">
      <c r="A4" s="2">
        <v>3.0</v>
      </c>
      <c r="B4" s="45" t="s">
        <v>144</v>
      </c>
      <c r="C4" s="45" t="s">
        <v>145</v>
      </c>
      <c r="D4" s="46">
        <v>1.5</v>
      </c>
      <c r="E4" s="46">
        <v>4.0</v>
      </c>
      <c r="F4" s="45" t="s">
        <v>140</v>
      </c>
    </row>
    <row r="5">
      <c r="A5" s="2">
        <v>4.0</v>
      </c>
      <c r="B5" s="45" t="s">
        <v>147</v>
      </c>
      <c r="C5" s="45" t="s">
        <v>148</v>
      </c>
      <c r="D5" s="46">
        <v>2.5</v>
      </c>
      <c r="E5" s="46">
        <v>10.0</v>
      </c>
      <c r="F5" s="45" t="s">
        <v>149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6.25"/>
    <col customWidth="1" min="3" max="3" width="5.5"/>
    <col customWidth="1" min="4" max="4" width="10.25"/>
    <col customWidth="1" min="5" max="5" width="21.63"/>
    <col customWidth="1" min="6" max="6" width="11.13"/>
    <col customWidth="1" min="7" max="7" width="9.38"/>
    <col customWidth="1" min="8" max="8" width="3.75"/>
    <col customWidth="1" min="9" max="9" width="8.63"/>
    <col customWidth="1" min="10" max="10" width="12.75"/>
  </cols>
  <sheetData>
    <row r="1">
      <c r="A1" s="47" t="s">
        <v>132</v>
      </c>
      <c r="B1" s="47" t="s">
        <v>133</v>
      </c>
      <c r="C1" s="44" t="s">
        <v>64</v>
      </c>
      <c r="D1" s="44" t="s">
        <v>166</v>
      </c>
      <c r="E1" s="44" t="s">
        <v>167</v>
      </c>
      <c r="F1" s="44" t="s">
        <v>168</v>
      </c>
      <c r="G1" s="44" t="s">
        <v>169</v>
      </c>
      <c r="H1" s="47" t="s">
        <v>171</v>
      </c>
      <c r="I1" s="47" t="s">
        <v>172</v>
      </c>
      <c r="J1" s="47" t="s">
        <v>173</v>
      </c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8">
        <v>1.0</v>
      </c>
      <c r="B2" s="45" t="s">
        <v>175</v>
      </c>
      <c r="C2" s="45" t="s">
        <v>176</v>
      </c>
      <c r="D2" s="49">
        <v>3.481234567E9</v>
      </c>
      <c r="E2" s="48" t="s">
        <v>177</v>
      </c>
      <c r="F2" s="45" t="s">
        <v>178</v>
      </c>
      <c r="G2" s="49">
        <v>1.23456789E8</v>
      </c>
      <c r="H2" s="45" t="s">
        <v>171</v>
      </c>
      <c r="I2" s="45" t="s">
        <v>179</v>
      </c>
      <c r="J2" s="46">
        <v>34.0</v>
      </c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2.75"/>
    <col customWidth="1" min="3" max="3" width="13.63"/>
    <col customWidth="1" min="4" max="4" width="8.63"/>
    <col customWidth="1" min="5" max="5" width="12.38"/>
    <col customWidth="1" min="6" max="6" width="7.5"/>
  </cols>
  <sheetData>
    <row r="1">
      <c r="A1" s="5" t="s">
        <v>132</v>
      </c>
      <c r="B1" s="47" t="s">
        <v>180</v>
      </c>
      <c r="C1" s="47" t="s">
        <v>181</v>
      </c>
      <c r="D1" s="44" t="s">
        <v>182</v>
      </c>
      <c r="E1" s="44" t="s">
        <v>183</v>
      </c>
      <c r="F1" s="47" t="s">
        <v>184</v>
      </c>
    </row>
    <row r="2">
      <c r="A2" s="2">
        <v>1.0</v>
      </c>
      <c r="B2" s="48" t="s">
        <v>147</v>
      </c>
      <c r="C2" s="45" t="s">
        <v>185</v>
      </c>
      <c r="D2" s="48" t="s">
        <v>186</v>
      </c>
      <c r="E2" s="45" t="s">
        <v>187</v>
      </c>
      <c r="F2" s="46">
        <v>23.0</v>
      </c>
    </row>
    <row r="3">
      <c r="A3" s="2">
        <v>2.0</v>
      </c>
      <c r="B3" s="45" t="s">
        <v>138</v>
      </c>
      <c r="C3" s="45" t="s">
        <v>188</v>
      </c>
      <c r="D3" s="48" t="s">
        <v>189</v>
      </c>
      <c r="E3" s="45" t="s">
        <v>139</v>
      </c>
      <c r="F3" s="46">
        <v>12.0</v>
      </c>
    </row>
    <row r="4">
      <c r="A4" s="2">
        <v>3.0</v>
      </c>
      <c r="B4" s="48" t="s">
        <v>144</v>
      </c>
      <c r="C4" s="45" t="s">
        <v>175</v>
      </c>
      <c r="D4" s="48" t="s">
        <v>190</v>
      </c>
      <c r="E4" s="45" t="s">
        <v>191</v>
      </c>
      <c r="F4" s="46">
        <v>54.0</v>
      </c>
    </row>
    <row r="5">
      <c r="A5" s="2">
        <v>4.0</v>
      </c>
      <c r="B5" s="48" t="s">
        <v>142</v>
      </c>
      <c r="C5" s="45" t="s">
        <v>188</v>
      </c>
      <c r="D5" s="48" t="s">
        <v>192</v>
      </c>
      <c r="E5" s="45" t="s">
        <v>139</v>
      </c>
      <c r="F5" s="46">
        <v>40.0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/>
      <c r="B1" s="45"/>
      <c r="C1" s="45"/>
      <c r="D1" s="50" t="s">
        <v>193</v>
      </c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</row>
    <row r="3">
      <c r="A3" s="45"/>
      <c r="B3" s="45"/>
      <c r="C3" s="51" t="s">
        <v>194</v>
      </c>
      <c r="D3" s="52" t="s">
        <v>195</v>
      </c>
      <c r="E3" s="53"/>
      <c r="F3" s="53"/>
      <c r="G3" s="53"/>
      <c r="H3" s="54"/>
      <c r="I3" s="55" t="s">
        <v>196</v>
      </c>
      <c r="J3" s="55" t="s">
        <v>197</v>
      </c>
      <c r="K3" s="56" t="s">
        <v>198</v>
      </c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</row>
    <row r="4">
      <c r="A4" s="57" t="s">
        <v>199</v>
      </c>
      <c r="C4" s="58"/>
      <c r="D4" s="59"/>
      <c r="E4" s="60"/>
      <c r="F4" s="60"/>
      <c r="G4" s="60"/>
      <c r="H4" s="61"/>
      <c r="I4" s="62"/>
      <c r="J4" s="63"/>
      <c r="K4" s="64"/>
      <c r="L4" s="50" t="s">
        <v>200</v>
      </c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</row>
    <row r="5">
      <c r="C5" s="65"/>
      <c r="D5" s="59"/>
      <c r="E5" s="60"/>
      <c r="F5" s="60"/>
      <c r="G5" s="60"/>
      <c r="H5" s="61"/>
      <c r="I5" s="62"/>
      <c r="J5" s="66"/>
      <c r="K5" s="67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</row>
    <row r="6">
      <c r="C6" s="65"/>
      <c r="D6" s="68"/>
      <c r="E6" s="69"/>
      <c r="F6" s="69"/>
      <c r="G6" s="69"/>
      <c r="H6" s="70"/>
      <c r="I6" s="62"/>
      <c r="J6" s="66"/>
      <c r="K6" s="67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</row>
    <row r="7">
      <c r="C7" s="65"/>
      <c r="D7" s="68"/>
      <c r="E7" s="69"/>
      <c r="F7" s="69"/>
      <c r="G7" s="69"/>
      <c r="H7" s="70"/>
      <c r="I7" s="62"/>
      <c r="J7" s="66"/>
      <c r="K7" s="67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>
      <c r="C8" s="65"/>
      <c r="D8" s="68"/>
      <c r="E8" s="69"/>
      <c r="F8" s="69"/>
      <c r="G8" s="69"/>
      <c r="H8" s="70"/>
      <c r="I8" s="62"/>
      <c r="J8" s="66"/>
      <c r="K8" s="67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</row>
    <row r="9">
      <c r="C9" s="65"/>
      <c r="D9" s="68"/>
      <c r="E9" s="69"/>
      <c r="F9" s="69"/>
      <c r="G9" s="69"/>
      <c r="H9" s="70"/>
      <c r="I9" s="62"/>
      <c r="J9" s="66"/>
      <c r="K9" s="67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</row>
    <row r="10">
      <c r="C10" s="65"/>
      <c r="D10" s="68"/>
      <c r="E10" s="69"/>
      <c r="F10" s="69"/>
      <c r="G10" s="69"/>
      <c r="H10" s="70"/>
      <c r="I10" s="62"/>
      <c r="J10" s="66"/>
      <c r="K10" s="67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>
      <c r="C11" s="65"/>
      <c r="D11" s="68"/>
      <c r="E11" s="69"/>
      <c r="F11" s="69"/>
      <c r="G11" s="69"/>
      <c r="H11" s="70"/>
      <c r="I11" s="62"/>
      <c r="J11" s="66"/>
      <c r="K11" s="67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>
      <c r="A12" s="45"/>
      <c r="B12" s="45"/>
      <c r="C12" s="71" t="s">
        <v>201</v>
      </c>
      <c r="D12" s="72"/>
      <c r="E12" s="72"/>
      <c r="F12" s="72"/>
      <c r="G12" s="72"/>
      <c r="H12" s="72"/>
      <c r="I12" s="72"/>
      <c r="J12" s="72"/>
      <c r="K12" s="73"/>
      <c r="L12" s="50" t="s">
        <v>202</v>
      </c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</row>
    <row r="13">
      <c r="A13" s="45"/>
      <c r="B13" s="45"/>
      <c r="C13" s="74"/>
      <c r="D13" s="75"/>
      <c r="E13" s="75"/>
      <c r="F13" s="75"/>
      <c r="G13" s="75"/>
      <c r="H13" s="75"/>
      <c r="I13" s="75"/>
      <c r="J13" s="75"/>
      <c r="K13" s="76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</row>
    <row r="14">
      <c r="A14" s="45"/>
      <c r="B14" s="45"/>
      <c r="C14" s="77" t="s">
        <v>203</v>
      </c>
      <c r="E14" s="78"/>
      <c r="F14" s="79" t="s">
        <v>204</v>
      </c>
      <c r="H14" s="78"/>
      <c r="I14" s="79" t="s">
        <v>205</v>
      </c>
      <c r="K14" s="80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</row>
    <row r="15">
      <c r="A15" s="45"/>
      <c r="B15" s="45"/>
      <c r="C15" s="81"/>
      <c r="D15" s="82"/>
      <c r="E15" s="83"/>
      <c r="F15" s="84"/>
      <c r="G15" s="82"/>
      <c r="H15" s="83"/>
      <c r="I15" s="84"/>
      <c r="J15" s="82"/>
      <c r="K15" s="8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>
      <c r="A16" s="45"/>
      <c r="B16" s="45"/>
      <c r="C16" s="86"/>
      <c r="D16" s="87"/>
      <c r="E16" s="88"/>
      <c r="F16" s="89"/>
      <c r="G16" s="87"/>
      <c r="H16" s="88"/>
      <c r="I16" s="89"/>
      <c r="J16" s="87"/>
      <c r="K16" s="90"/>
      <c r="L16" s="50" t="s">
        <v>206</v>
      </c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</row>
    <row r="17">
      <c r="A17" s="45"/>
      <c r="B17" s="45"/>
      <c r="C17" s="81"/>
      <c r="D17" s="82"/>
      <c r="E17" s="83"/>
      <c r="F17" s="84"/>
      <c r="G17" s="82"/>
      <c r="H17" s="83"/>
      <c r="I17" s="84"/>
      <c r="J17" s="82"/>
      <c r="K17" s="8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</row>
    <row r="18">
      <c r="A18" s="45"/>
      <c r="B18" s="45"/>
      <c r="C18" s="91" t="s">
        <v>207</v>
      </c>
      <c r="D18" s="72"/>
      <c r="E18" s="92"/>
      <c r="F18" s="93" t="s">
        <v>208</v>
      </c>
      <c r="G18" s="72"/>
      <c r="H18" s="92"/>
      <c r="I18" s="93" t="s">
        <v>209</v>
      </c>
      <c r="J18" s="72"/>
      <c r="K18" s="94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</row>
    <row r="19">
      <c r="A19" s="45"/>
      <c r="B19" s="45"/>
      <c r="C19" s="81"/>
      <c r="D19" s="82"/>
      <c r="E19" s="83"/>
      <c r="F19" s="84"/>
      <c r="G19" s="82"/>
      <c r="H19" s="83"/>
      <c r="I19" s="84"/>
      <c r="J19" s="82"/>
      <c r="K19" s="8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</row>
    <row r="20">
      <c r="A20" s="45"/>
      <c r="B20" s="45"/>
      <c r="C20" s="86"/>
      <c r="D20" s="87"/>
      <c r="E20" s="88"/>
      <c r="F20" s="89"/>
      <c r="G20" s="87"/>
      <c r="H20" s="88"/>
      <c r="I20" s="89"/>
      <c r="J20" s="87"/>
      <c r="K20" s="90"/>
      <c r="L20" s="50" t="s">
        <v>210</v>
      </c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</row>
    <row r="21">
      <c r="A21" s="45"/>
      <c r="B21" s="45"/>
      <c r="C21" s="95"/>
      <c r="E21" s="78"/>
      <c r="F21" s="96"/>
      <c r="H21" s="78"/>
      <c r="I21" s="96"/>
      <c r="K21" s="80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</row>
    <row r="22">
      <c r="A22" s="45"/>
      <c r="B22" s="45"/>
      <c r="C22" s="51" t="s">
        <v>211</v>
      </c>
      <c r="D22" s="53"/>
      <c r="E22" s="53"/>
      <c r="F22" s="97" t="s">
        <v>212</v>
      </c>
      <c r="G22" s="53"/>
      <c r="H22" s="53"/>
      <c r="I22" s="53"/>
      <c r="J22" s="53"/>
      <c r="K22" s="98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</row>
    <row r="23">
      <c r="A23" s="45"/>
      <c r="B23" s="45"/>
      <c r="C23" s="95"/>
      <c r="K23" s="80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</row>
    <row r="24">
      <c r="A24" s="45"/>
      <c r="B24" s="45"/>
      <c r="C24" s="99"/>
      <c r="F24" s="45"/>
      <c r="K24" s="80"/>
      <c r="L24" s="50" t="s">
        <v>213</v>
      </c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  <row r="25">
      <c r="A25" s="45"/>
      <c r="B25" s="45"/>
      <c r="C25" s="74"/>
      <c r="D25" s="75"/>
      <c r="E25" s="75"/>
      <c r="F25" s="75"/>
      <c r="G25" s="75"/>
      <c r="H25" s="75"/>
      <c r="I25" s="75"/>
      <c r="J25" s="75"/>
      <c r="K25" s="76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</row>
    <row r="100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</row>
    <row r="1002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</row>
  </sheetData>
  <mergeCells count="34">
    <mergeCell ref="D7:H7"/>
    <mergeCell ref="D8:H8"/>
    <mergeCell ref="D1:I1"/>
    <mergeCell ref="D3:H3"/>
    <mergeCell ref="A4:B11"/>
    <mergeCell ref="D4:H4"/>
    <mergeCell ref="L4:Q11"/>
    <mergeCell ref="D5:H5"/>
    <mergeCell ref="D6:H6"/>
    <mergeCell ref="D11:H11"/>
    <mergeCell ref="D9:H9"/>
    <mergeCell ref="D10:H10"/>
    <mergeCell ref="C12:J13"/>
    <mergeCell ref="K12:K13"/>
    <mergeCell ref="L12:N13"/>
    <mergeCell ref="F14:H15"/>
    <mergeCell ref="I14:K15"/>
    <mergeCell ref="C14:E15"/>
    <mergeCell ref="C16:E17"/>
    <mergeCell ref="F16:H17"/>
    <mergeCell ref="I16:K17"/>
    <mergeCell ref="L16:Q17"/>
    <mergeCell ref="F18:H19"/>
    <mergeCell ref="I18:K19"/>
    <mergeCell ref="C24:E25"/>
    <mergeCell ref="F24:K25"/>
    <mergeCell ref="L24:N25"/>
    <mergeCell ref="C18:E19"/>
    <mergeCell ref="C20:E21"/>
    <mergeCell ref="F20:H21"/>
    <mergeCell ref="I20:K21"/>
    <mergeCell ref="L20:N21"/>
    <mergeCell ref="C22:E23"/>
    <mergeCell ref="F22:K23"/>
  </mergeCells>
  <drawing r:id="rId1"/>
</worksheet>
</file>